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DA SLF drop excretion data\Manuscript_honeydew excretion by SLF\Figures\Final figures\Modified final figures\Saad comment\saad second comment\Dataset\"/>
    </mc:Choice>
  </mc:AlternateContent>
  <xr:revisionPtr revIDLastSave="0" documentId="13_ncr:1_{BC416B48-554C-4A46-A2E4-701925FF8FC4}" xr6:coauthVersionLast="47" xr6:coauthVersionMax="47" xr10:uidLastSave="{00000000-0000-0000-0000-000000000000}"/>
  <bookViews>
    <workbookView xWindow="28680" yWindow="-120" windowWidth="29040" windowHeight="15840" activeTab="1" xr2:uid="{A65DC99D-79C8-2544-BCC3-EFA602DDFBD0}"/>
  </bookViews>
  <sheets>
    <sheet name="Tab1. gut exit diameter, d" sheetId="3" r:id="rId1"/>
    <sheet name="Tab2. Dimensionless number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J4" i="2"/>
  <c r="J5" i="2"/>
  <c r="J13" i="2"/>
  <c r="J14" i="2"/>
  <c r="J15" i="2"/>
  <c r="K15" i="2" s="1"/>
  <c r="J23" i="2"/>
  <c r="K23" i="2" s="1"/>
  <c r="E10" i="3"/>
  <c r="E14" i="3" s="1"/>
  <c r="D10" i="3"/>
  <c r="D14" i="3" s="1"/>
  <c r="C10" i="3"/>
  <c r="C14" i="3" s="1"/>
  <c r="B10" i="3"/>
  <c r="B14" i="3" s="1"/>
  <c r="D8" i="3"/>
  <c r="D5" i="3"/>
  <c r="D6" i="3" s="1"/>
  <c r="D7" i="3" s="1"/>
  <c r="D1" i="3"/>
  <c r="C1" i="3"/>
  <c r="C5" i="3" s="1"/>
  <c r="B1" i="3"/>
  <c r="B5" i="3" s="1"/>
  <c r="I12" i="2"/>
  <c r="K12" i="2" s="1"/>
  <c r="L2" i="2"/>
  <c r="K14" i="2"/>
  <c r="K13" i="2"/>
  <c r="K5" i="2"/>
  <c r="K4" i="2"/>
  <c r="K2" i="2"/>
  <c r="I11" i="2"/>
  <c r="J11" i="2" s="1"/>
  <c r="I3" i="2"/>
  <c r="L3" i="2" s="1"/>
  <c r="J12" i="2" l="1"/>
  <c r="J3" i="2"/>
  <c r="L12" i="2"/>
  <c r="B8" i="3"/>
  <c r="B6" i="3"/>
  <c r="F5" i="3"/>
  <c r="E5" i="3"/>
  <c r="C6" i="3"/>
  <c r="C7" i="3" s="1"/>
  <c r="C8" i="3"/>
  <c r="B17" i="3"/>
  <c r="B15" i="3"/>
  <c r="G14" i="3"/>
  <c r="F14" i="3"/>
  <c r="C17" i="3"/>
  <c r="C15" i="3"/>
  <c r="C16" i="3" s="1"/>
  <c r="D15" i="3"/>
  <c r="D16" i="3" s="1"/>
  <c r="D17" i="3"/>
  <c r="E17" i="3"/>
  <c r="E15" i="3"/>
  <c r="E16" i="3" s="1"/>
  <c r="L11" i="2"/>
  <c r="K3" i="2"/>
  <c r="K11" i="2"/>
  <c r="B16" i="3" l="1"/>
  <c r="G15" i="3"/>
  <c r="F15" i="3"/>
  <c r="G17" i="3"/>
  <c r="F17" i="3"/>
  <c r="B7" i="3"/>
  <c r="F6" i="3"/>
  <c r="E6" i="3"/>
  <c r="F8" i="3"/>
  <c r="E8" i="3"/>
  <c r="F7" i="3" l="1"/>
  <c r="E7" i="3"/>
  <c r="F16" i="3"/>
  <c r="G16" i="3"/>
</calcChain>
</file>

<file path=xl/sharedStrings.xml><?xml version="1.0" encoding="utf-8"?>
<sst xmlns="http://schemas.openxmlformats.org/spreadsheetml/2006/main" count="232" uniqueCount="104">
  <si>
    <t xml:space="preserve">https://tinyurl.com/279n6bb6 </t>
  </si>
  <si>
    <t xml:space="preserve">https://tinyurl.com/37a6b88j </t>
  </si>
  <si>
    <t xml:space="preserve">https://tinyurl.com/mvjdxpuu </t>
  </si>
  <si>
    <t xml:space="preserve">https://tinyurl.com/54a697z2 </t>
  </si>
  <si>
    <t>Organism</t>
  </si>
  <si>
    <t>Mechanism</t>
  </si>
  <si>
    <t>Reference</t>
  </si>
  <si>
    <t>Droplet</t>
  </si>
  <si>
    <t>Jet</t>
  </si>
  <si>
    <t>Cicada</t>
  </si>
  <si>
    <t>Fluid</t>
  </si>
  <si>
    <t>Behavior</t>
  </si>
  <si>
    <t>Orifice diameter, d [m]</t>
  </si>
  <si>
    <t>Itersonilia perplexans (Ballistospore)</t>
  </si>
  <si>
    <t>Auricularia (Ballistospore)</t>
  </si>
  <si>
    <t>Sporobolomyces (Ballistospore)</t>
  </si>
  <si>
    <t>Ascobolus immersus (Fungal spore)</t>
  </si>
  <si>
    <t>Podospora anserina (Fungal spore)</t>
  </si>
  <si>
    <t>Pilobolus kleinii (Fungal spore)</t>
  </si>
  <si>
    <t>Basidiobolus ranarum (Fungal spore)</t>
  </si>
  <si>
    <t>Water</t>
  </si>
  <si>
    <t>Droplet, Coalescence</t>
  </si>
  <si>
    <t>Jet, Fracture-release</t>
  </si>
  <si>
    <t>Spore Dispersion</t>
  </si>
  <si>
    <t>Glassy-winged sharpshooter</t>
  </si>
  <si>
    <t>Blue-green sharpshooter</t>
  </si>
  <si>
    <t>Red-blue sharpshooter</t>
  </si>
  <si>
    <t>Spotted lanternfly, adult</t>
  </si>
  <si>
    <t>Spotted lanternfly, nymph</t>
  </si>
  <si>
    <t>Honeydew</t>
  </si>
  <si>
    <t>Droplet, Catapulting</t>
  </si>
  <si>
    <t>Urination</t>
  </si>
  <si>
    <t>Aphid</t>
  </si>
  <si>
    <t>Droplet, Hydrophobic Waxing</t>
  </si>
  <si>
    <t>Mosquito</t>
  </si>
  <si>
    <t>Blood</t>
  </si>
  <si>
    <t>Droplet, Evaporation/Squeezing</t>
  </si>
  <si>
    <t>Thermoregulation</t>
  </si>
  <si>
    <t>Fly 1</t>
  </si>
  <si>
    <t>Assumed water</t>
  </si>
  <si>
    <t>Droplet, Squeezing</t>
  </si>
  <si>
    <t>-</t>
  </si>
  <si>
    <t>Fly 2</t>
  </si>
  <si>
    <t>Butterfly</t>
  </si>
  <si>
    <t>Bumblebee</t>
  </si>
  <si>
    <t>Bat</t>
  </si>
  <si>
    <t>Urine</t>
  </si>
  <si>
    <t>Wister Rat</t>
  </si>
  <si>
    <t>Cat Female1</t>
  </si>
  <si>
    <t>Cat Female2</t>
  </si>
  <si>
    <t>Dog</t>
  </si>
  <si>
    <t>Human (Man)</t>
  </si>
  <si>
    <t>Human (Woman)</t>
  </si>
  <si>
    <t>Human (Old man)</t>
  </si>
  <si>
    <t>Horse</t>
  </si>
  <si>
    <t>Mini Horse</t>
  </si>
  <si>
    <t>Cow 1</t>
  </si>
  <si>
    <t>Cow 2</t>
  </si>
  <si>
    <t>Elephant 1</t>
  </si>
  <si>
    <t>Elephant 2</t>
  </si>
  <si>
    <t>Elephant 3</t>
  </si>
  <si>
    <t>Asian Elephant</t>
  </si>
  <si>
    <t>Spitting Cobra</t>
  </si>
  <si>
    <t>Archerfish</t>
  </si>
  <si>
    <t>Jet, Fluid sheet</t>
  </si>
  <si>
    <t>Spitting, defense</t>
  </si>
  <si>
    <t>Spitting, predation</t>
  </si>
  <si>
    <t>Venom</t>
  </si>
  <si>
    <t>This work</t>
  </si>
  <si>
    <t>Zantedeschia aethiopica plant</t>
  </si>
  <si>
    <t>Guttation</t>
  </si>
  <si>
    <t>We_d</t>
  </si>
  <si>
    <t>Initial droplet diameter, D [m]</t>
  </si>
  <si>
    <t>Flow Speed through orifice, u [m/s]</t>
  </si>
  <si>
    <t>Glassy-winged sharpshooter (Hairless)</t>
  </si>
  <si>
    <t>1 pixel = X mm</t>
  </si>
  <si>
    <t>Nymph B_micro CT</t>
  </si>
  <si>
    <t>Nymph A_micro CT</t>
  </si>
  <si>
    <t>SEM</t>
  </si>
  <si>
    <t>Average</t>
  </si>
  <si>
    <t>SD</t>
  </si>
  <si>
    <t>A [pixel^2]</t>
  </si>
  <si>
    <t>P [pixel]</t>
  </si>
  <si>
    <t>d=4A/P [mm]</t>
  </si>
  <si>
    <t>u [m/s]</t>
  </si>
  <si>
    <t>Female A_micro CT</t>
  </si>
  <si>
    <t>Female B_micro CT</t>
  </si>
  <si>
    <t>Male A_micro CT</t>
  </si>
  <si>
    <t>Male B_micro CT</t>
  </si>
  <si>
    <t>We_spin</t>
  </si>
  <si>
    <t>We_D</t>
  </si>
  <si>
    <t>Bo_D</t>
  </si>
  <si>
    <t xml:space="preserve">https://tinyurl.com/4re6vk99 </t>
  </si>
  <si>
    <t xml:space="preserve">https://tinyurl.com/y5hdmfb4 </t>
  </si>
  <si>
    <t xml:space="preserve">https://tinyurl.com/4dw4fb8b </t>
  </si>
  <si>
    <t>Pringle et al., Mycologia, 2005.</t>
  </si>
  <si>
    <t>Yafetto et al., PLoS One, 2008.</t>
  </si>
  <si>
    <t>Challita et al., Nat. Comm., 2023.</t>
  </si>
  <si>
    <t>Challita and Bhamla, PNAS, 2024.</t>
  </si>
  <si>
    <t>Yang et al., PNAS, 2014.</t>
  </si>
  <si>
    <t>Young et al., J. Exp. Biol., 2004.</t>
  </si>
  <si>
    <t>Vailati et al., PLoS One, 2012.</t>
  </si>
  <si>
    <t>Bo_d</t>
  </si>
  <si>
    <t>Droplet, Capillary Ratchet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</si>
</sst>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tinyurl.com/y5hdmfb4" TargetMode="External"/><Relationship Id="rId2" Type="http://schemas.openxmlformats.org/officeDocument/2006/relationships/hyperlink" Target="https://tinyurl.com/4re6vk99" TargetMode="External"/><Relationship Id="rId1" Type="http://schemas.openxmlformats.org/officeDocument/2006/relationships/hyperlink" Target="https://tinyurl.com/mvjdxpuu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tinyurl.com/4dw4fb8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1F4AA-1ABB-497B-8E7E-243B1A9991A9}">
  <dimension ref="A1:G17"/>
  <sheetViews>
    <sheetView workbookViewId="0">
      <selection activeCell="F14" sqref="F14"/>
    </sheetView>
  </sheetViews>
  <sheetFormatPr defaultRowHeight="15.75" x14ac:dyDescent="0.25"/>
  <cols>
    <col min="1" max="1" width="11.875" style="1" bestFit="1" customWidth="1"/>
    <col min="2" max="3" width="15.5" style="1" bestFit="1" customWidth="1"/>
    <col min="4" max="4" width="13.625" style="1" bestFit="1" customWidth="1"/>
    <col min="5" max="5" width="15.625" style="1" bestFit="1" customWidth="1"/>
    <col min="6" max="16384" width="9" style="1"/>
  </cols>
  <sheetData>
    <row r="1" spans="1:7" x14ac:dyDescent="0.25">
      <c r="A1" s="1" t="s">
        <v>75</v>
      </c>
      <c r="B1" s="1">
        <f>(1/282)</f>
        <v>3.5460992907801418E-3</v>
      </c>
      <c r="C1" s="1">
        <f>(0.5/334)</f>
        <v>1.4970059880239522E-3</v>
      </c>
      <c r="D1" s="1">
        <f>(1/170)</f>
        <v>5.8823529411764705E-3</v>
      </c>
    </row>
    <row r="2" spans="1:7" x14ac:dyDescent="0.25">
      <c r="B2" s="1" t="s">
        <v>76</v>
      </c>
      <c r="C2" s="1" t="s">
        <v>77</v>
      </c>
      <c r="D2" s="1" t="s">
        <v>78</v>
      </c>
      <c r="E2" s="1" t="s">
        <v>79</v>
      </c>
      <c r="F2" s="1" t="s">
        <v>80</v>
      </c>
    </row>
    <row r="3" spans="1:7" x14ac:dyDescent="0.25">
      <c r="A3" s="1" t="s">
        <v>81</v>
      </c>
      <c r="B3" s="1">
        <v>11893</v>
      </c>
      <c r="C3" s="1">
        <v>46456</v>
      </c>
      <c r="D3" s="1">
        <v>2560</v>
      </c>
    </row>
    <row r="4" spans="1:7" x14ac:dyDescent="0.25">
      <c r="A4" s="1" t="s">
        <v>82</v>
      </c>
      <c r="B4" s="1">
        <v>423.54</v>
      </c>
      <c r="C4" s="1">
        <v>855.43200000000002</v>
      </c>
      <c r="D4" s="1">
        <v>212.435</v>
      </c>
    </row>
    <row r="5" spans="1:7" x14ac:dyDescent="0.25">
      <c r="A5" s="1" t="s">
        <v>83</v>
      </c>
      <c r="B5" s="1">
        <f>4*B3/B4*B1</f>
        <v>0.39829776517210391</v>
      </c>
      <c r="C5" s="1">
        <f>4*C3/C4*C1</f>
        <v>0.32519199739846399</v>
      </c>
      <c r="D5" s="1">
        <f>4*D3/D4*D1</f>
        <v>0.2835469396175162</v>
      </c>
      <c r="E5" s="2">
        <f t="shared" ref="E5:E8" si="0">AVERAGE(B5:D5)</f>
        <v>0.3356789007293613</v>
      </c>
      <c r="F5" s="1">
        <f t="shared" ref="F5:F8" si="1">_xlfn.STDEV.P(B5:D5)</f>
        <v>4.7430084316943746E-2</v>
      </c>
    </row>
    <row r="6" spans="1:7" x14ac:dyDescent="0.25">
      <c r="A6" s="1" t="s">
        <v>84</v>
      </c>
      <c r="B6" s="1">
        <f>(2*(0.61*10^(-3))^3/(3*(B5/1000)^2*10*10^(-3)))</f>
        <v>9.5385532106795651E-2</v>
      </c>
      <c r="C6" s="1">
        <f>(2*(0.61*10^(-3))^3/(3*(C5/1000)^2*10*10^(-3)))</f>
        <v>0.14309305203222569</v>
      </c>
      <c r="D6" s="1">
        <f>(2*(0.61*10^(-3))^3/(3*(D5/1000)^2*10*10^(-3)))</f>
        <v>0.1882124367869441</v>
      </c>
      <c r="E6" s="2">
        <f t="shared" si="0"/>
        <v>0.14223034030865514</v>
      </c>
      <c r="F6" s="1">
        <f t="shared" si="1"/>
        <v>3.7901334732546699E-2</v>
      </c>
    </row>
    <row r="7" spans="1:7" x14ac:dyDescent="0.25">
      <c r="A7" s="1" t="s">
        <v>71</v>
      </c>
      <c r="B7" s="1">
        <f>1000*B6^2*(B5/1000)/0.044</f>
        <v>8.2360733663888075E-2</v>
      </c>
      <c r="C7" s="1">
        <f>1000*C6^2*(C5/1000)/0.044</f>
        <v>0.15132973333032274</v>
      </c>
      <c r="D7" s="1">
        <f>1000*D6^2*(D5/1000)/0.044</f>
        <v>0.22828055661914412</v>
      </c>
      <c r="E7" s="2">
        <f t="shared" si="0"/>
        <v>0.15399034120445165</v>
      </c>
      <c r="F7" s="1">
        <f t="shared" si="1"/>
        <v>5.960121815599756E-2</v>
      </c>
    </row>
    <row r="8" spans="1:7" x14ac:dyDescent="0.25">
      <c r="A8" s="1" t="s">
        <v>102</v>
      </c>
      <c r="B8" s="1">
        <f>1000*9.81*(B5/1000)^2/0.044</f>
        <v>3.5369756512729923E-2</v>
      </c>
      <c r="C8" s="1">
        <f t="shared" ref="C8:D8" si="2">1000*9.81*(C5/1000)^2/0.044</f>
        <v>2.3577406432666953E-2</v>
      </c>
      <c r="D8" s="1">
        <f t="shared" si="2"/>
        <v>1.7925292839567421E-2</v>
      </c>
      <c r="E8" s="2">
        <f t="shared" si="0"/>
        <v>2.5624151928321431E-2</v>
      </c>
      <c r="F8" s="1">
        <f t="shared" si="1"/>
        <v>7.2672417304897752E-3</v>
      </c>
    </row>
    <row r="10" spans="1:7" x14ac:dyDescent="0.25">
      <c r="A10" s="1" t="s">
        <v>75</v>
      </c>
      <c r="B10" s="1">
        <f>(0.1/57)</f>
        <v>1.7543859649122807E-3</v>
      </c>
      <c r="C10" s="1">
        <f>(1/396)</f>
        <v>2.5252525252525255E-3</v>
      </c>
      <c r="D10" s="1">
        <f>(0.1/57)</f>
        <v>1.7543859649122807E-3</v>
      </c>
      <c r="E10" s="1">
        <f>(0.1/60)</f>
        <v>1.6666666666666668E-3</v>
      </c>
    </row>
    <row r="11" spans="1:7" x14ac:dyDescent="0.25">
      <c r="B11" s="1" t="s">
        <v>85</v>
      </c>
      <c r="C11" s="1" t="s">
        <v>86</v>
      </c>
      <c r="D11" s="1" t="s">
        <v>87</v>
      </c>
      <c r="E11" s="1" t="s">
        <v>88</v>
      </c>
      <c r="F11" s="1" t="s">
        <v>79</v>
      </c>
      <c r="G11" s="1" t="s">
        <v>80</v>
      </c>
    </row>
    <row r="12" spans="1:7" x14ac:dyDescent="0.25">
      <c r="A12" s="1" t="s">
        <v>81</v>
      </c>
      <c r="B12" s="1">
        <v>1668</v>
      </c>
      <c r="C12" s="1">
        <v>397</v>
      </c>
      <c r="D12" s="1">
        <v>782</v>
      </c>
      <c r="E12" s="1">
        <v>2218</v>
      </c>
    </row>
    <row r="13" spans="1:7" x14ac:dyDescent="0.25">
      <c r="A13" s="1" t="s">
        <v>82</v>
      </c>
      <c r="B13" s="1">
        <v>208.37</v>
      </c>
      <c r="C13" s="1">
        <v>90.19</v>
      </c>
      <c r="D13" s="1">
        <v>116</v>
      </c>
      <c r="E13" s="1">
        <v>241</v>
      </c>
    </row>
    <row r="14" spans="1:7" x14ac:dyDescent="0.25">
      <c r="A14" s="1" t="s">
        <v>83</v>
      </c>
      <c r="B14" s="1">
        <f>4*B12/B13*B10</f>
        <v>5.6175376291667398E-2</v>
      </c>
      <c r="C14" s="1">
        <f>4*C12/C13*C10</f>
        <v>4.4462811953664604E-2</v>
      </c>
      <c r="D14" s="1">
        <f>4*D12/D13*D10</f>
        <v>4.7307924984875981E-2</v>
      </c>
      <c r="E14" s="1">
        <f>4*E12/E13*E10</f>
        <v>6.1355463347164588E-2</v>
      </c>
      <c r="F14" s="2">
        <f>AVERAGE(B14:E14)</f>
        <v>5.2325394144343146E-2</v>
      </c>
      <c r="G14" s="1">
        <f>_xlfn.STDEV.P(B14:E14)</f>
        <v>6.7705189574699372E-3</v>
      </c>
    </row>
    <row r="15" spans="1:7" x14ac:dyDescent="0.25">
      <c r="A15" s="1" t="s">
        <v>84</v>
      </c>
      <c r="B15" s="1">
        <f>(2*(0.71*10^(-3))^3/(3*(B14/1000)^2*200*10^(-3)))</f>
        <v>0.37806094101059495</v>
      </c>
      <c r="C15" s="1">
        <f>(2*(0.71*10^(-3))^3/(3*(C14/1000)^2*200*10^(-3)))</f>
        <v>0.60347591370819287</v>
      </c>
      <c r="D15" s="1">
        <f>(2*(0.71*10^(-3))^3/(3*(D14/1000)^2*200*10^(-3)))</f>
        <v>0.5330721484896751</v>
      </c>
      <c r="E15" s="1">
        <f>(2*(0.71*10^(-3))^3/(3*(E14/1000)^2*200*10^(-3)))</f>
        <v>0.31691829521006515</v>
      </c>
      <c r="F15" s="2">
        <f t="shared" ref="F15:F17" si="3">AVERAGE(B15:E15)</f>
        <v>0.457881824604632</v>
      </c>
      <c r="G15" s="1">
        <f t="shared" ref="G15:G17" si="4">_xlfn.STDEV.P(B15:E15)</f>
        <v>0.11520993193399058</v>
      </c>
    </row>
    <row r="16" spans="1:7" x14ac:dyDescent="0.25">
      <c r="A16" s="1" t="s">
        <v>71</v>
      </c>
      <c r="B16" s="1">
        <f>1000*B15^2*(B14/1000)/0.044</f>
        <v>0.18248069893499166</v>
      </c>
      <c r="C16" s="1">
        <f>1000*C15^2*(C14/1000)/0.044</f>
        <v>0.36801382225091767</v>
      </c>
      <c r="D16" s="1">
        <f>1000*D15^2*(D14/1000)/0.044</f>
        <v>0.30552954121624787</v>
      </c>
      <c r="E16" s="1">
        <f>1000*E15^2*(E14/1000)/0.044</f>
        <v>0.14005389321675982</v>
      </c>
      <c r="F16" s="2">
        <f t="shared" si="3"/>
        <v>0.24901948890472925</v>
      </c>
      <c r="G16" s="1">
        <f t="shared" si="4"/>
        <v>9.1725063361964038E-2</v>
      </c>
    </row>
    <row r="17" spans="1:7" x14ac:dyDescent="0.25">
      <c r="A17" s="1" t="s">
        <v>102</v>
      </c>
      <c r="B17" s="1">
        <f>1000*9.81*(B14/1000)^2/0.044</f>
        <v>7.035716173594839E-4</v>
      </c>
      <c r="C17" s="1">
        <f>1000*9.81*(C14/1000)^2/0.044</f>
        <v>4.407681262584609E-4</v>
      </c>
      <c r="D17" s="1">
        <f>1000*9.81*(D14/1000)^2/0.044</f>
        <v>4.9898113882125789E-4</v>
      </c>
      <c r="E17" s="1">
        <f>1000*9.81*(E14/1000)^2/0.044</f>
        <v>8.3931079949474939E-4</v>
      </c>
      <c r="F17" s="2">
        <f t="shared" si="3"/>
        <v>6.2065792048348798E-4</v>
      </c>
      <c r="G17" s="1">
        <f t="shared" si="4"/>
        <v>1.5956921687120486E-4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EF2A9-AD12-421E-8C62-B733974D3700}">
  <dimension ref="A1:M42"/>
  <sheetViews>
    <sheetView tabSelected="1" topLeftCell="B1" zoomScale="71" zoomScaleNormal="71" workbookViewId="0">
      <selection activeCell="F17" sqref="F17"/>
    </sheetView>
  </sheetViews>
  <sheetFormatPr defaultRowHeight="15.75" x14ac:dyDescent="0.25"/>
  <cols>
    <col min="1" max="1" width="34.625" style="1" bestFit="1" customWidth="1"/>
    <col min="2" max="2" width="15.75" style="1" customWidth="1"/>
    <col min="3" max="3" width="44.75" style="1" bestFit="1" customWidth="1"/>
    <col min="4" max="4" width="16.125" style="1" bestFit="1" customWidth="1"/>
    <col min="5" max="5" width="32.25" style="1" bestFit="1" customWidth="1"/>
    <col min="6" max="6" width="21" style="1" bestFit="1" customWidth="1"/>
    <col min="7" max="7" width="8.625" style="1" bestFit="1" customWidth="1"/>
    <col min="8" max="8" width="11.875" style="1" customWidth="1"/>
    <col min="9" max="9" width="16.625" style="1" customWidth="1"/>
    <col min="10" max="10" width="9.75" customWidth="1"/>
    <col min="11" max="11" width="30.75" customWidth="1"/>
    <col min="12" max="12" width="10.875" customWidth="1"/>
    <col min="13" max="13" width="31.875" style="1" customWidth="1"/>
  </cols>
  <sheetData>
    <row r="1" spans="1:13" x14ac:dyDescent="0.25">
      <c r="A1" s="3" t="s">
        <v>4</v>
      </c>
      <c r="B1" s="3" t="s">
        <v>10</v>
      </c>
      <c r="C1" s="3" t="s">
        <v>5</v>
      </c>
      <c r="D1" s="3" t="s">
        <v>11</v>
      </c>
      <c r="E1" s="3" t="s">
        <v>73</v>
      </c>
      <c r="F1" s="3" t="s">
        <v>12</v>
      </c>
      <c r="G1" s="3" t="s">
        <v>102</v>
      </c>
      <c r="H1" s="3" t="s">
        <v>71</v>
      </c>
      <c r="I1" s="3" t="s">
        <v>72</v>
      </c>
      <c r="J1" s="3" t="s">
        <v>90</v>
      </c>
      <c r="K1" s="3" t="s">
        <v>91</v>
      </c>
      <c r="L1" s="3" t="s">
        <v>89</v>
      </c>
      <c r="M1" s="3" t="s">
        <v>6</v>
      </c>
    </row>
    <row r="2" spans="1:13" x14ac:dyDescent="0.25">
      <c r="A2" s="3" t="s">
        <v>27</v>
      </c>
      <c r="B2" s="3" t="s">
        <v>29</v>
      </c>
      <c r="C2" s="3" t="s">
        <v>30</v>
      </c>
      <c r="D2" s="3" t="s">
        <v>31</v>
      </c>
      <c r="E2" s="3">
        <v>0.46</v>
      </c>
      <c r="F2" s="5">
        <v>5.2299999999999997E-5</v>
      </c>
      <c r="G2" s="5">
        <v>6.2069999999999996E-4</v>
      </c>
      <c r="H2" s="5">
        <v>0.2490195</v>
      </c>
      <c r="I2" s="5">
        <v>7.0899999999999999E-4</v>
      </c>
      <c r="J2" s="5">
        <f>996*(1)^2*I2/0.044</f>
        <v>16.049181818181818</v>
      </c>
      <c r="K2" s="5">
        <f>(996*9.81*I2^2/0.044)</f>
        <v>0.11162671380818183</v>
      </c>
      <c r="L2" s="5">
        <f>(996*(2.91*10^3)^2*(I2/2)^3/0.044)</f>
        <v>8.5396753085644317</v>
      </c>
      <c r="M2" s="3" t="s">
        <v>68</v>
      </c>
    </row>
    <row r="3" spans="1:13" x14ac:dyDescent="0.25">
      <c r="A3" s="3" t="s">
        <v>28</v>
      </c>
      <c r="B3" s="3" t="s">
        <v>29</v>
      </c>
      <c r="C3" s="3" t="s">
        <v>103</v>
      </c>
      <c r="D3" s="3" t="s">
        <v>31</v>
      </c>
      <c r="E3" s="3">
        <v>0.14000000000000001</v>
      </c>
      <c r="F3" s="5">
        <v>3.3599999999999998E-4</v>
      </c>
      <c r="G3" s="5">
        <v>2.5624000000000001E-2</v>
      </c>
      <c r="H3" s="5">
        <v>0.153990341</v>
      </c>
      <c r="I3" s="5">
        <f>0.000573</f>
        <v>5.7300000000000005E-4</v>
      </c>
      <c r="J3" s="5">
        <f>996*(0.22)^2*I3/0.044</f>
        <v>0.62777880000000019</v>
      </c>
      <c r="K3" s="5">
        <f>(996*9.81*I3^2/0.044)</f>
        <v>7.2909633182727293E-2</v>
      </c>
      <c r="L3" s="5">
        <f>(996*(8.06*10^2)^2*(I3/2)^3/0.044)</f>
        <v>0.34582041247317269</v>
      </c>
      <c r="M3" s="3" t="s">
        <v>68</v>
      </c>
    </row>
    <row r="4" spans="1:13" x14ac:dyDescent="0.25">
      <c r="A4" s="4" t="s">
        <v>13</v>
      </c>
      <c r="B4" s="4" t="s">
        <v>20</v>
      </c>
      <c r="C4" s="4" t="s">
        <v>21</v>
      </c>
      <c r="D4" s="4" t="s">
        <v>23</v>
      </c>
      <c r="E4" s="4">
        <v>1.2</v>
      </c>
      <c r="F4" s="6">
        <v>7.9999999999999996E-6</v>
      </c>
      <c r="G4" s="6">
        <v>8.6999999999999997E-6</v>
      </c>
      <c r="H4" s="4">
        <v>0.16</v>
      </c>
      <c r="I4" s="6">
        <v>7.9999999999999996E-6</v>
      </c>
      <c r="J4" s="6">
        <f>996*E4^2*I4/0.072</f>
        <v>0.15936000000000003</v>
      </c>
      <c r="K4" s="6">
        <f>(996*9.81*I4^2/0.072)</f>
        <v>8.6851200000000006E-6</v>
      </c>
      <c r="L4" s="6"/>
      <c r="M4" s="4" t="s">
        <v>95</v>
      </c>
    </row>
    <row r="5" spans="1:13" x14ac:dyDescent="0.25">
      <c r="A5" s="4" t="s">
        <v>14</v>
      </c>
      <c r="B5" s="4" t="s">
        <v>20</v>
      </c>
      <c r="C5" s="4" t="s">
        <v>21</v>
      </c>
      <c r="D5" s="4" t="s">
        <v>23</v>
      </c>
      <c r="E5" s="4">
        <v>0.8</v>
      </c>
      <c r="F5" s="6">
        <v>2.2500000000000001E-6</v>
      </c>
      <c r="G5" s="6">
        <v>6.8700000000000005E-7</v>
      </c>
      <c r="H5" s="4">
        <v>0.02</v>
      </c>
      <c r="I5" s="6">
        <v>6.0000000000000002E-6</v>
      </c>
      <c r="J5" s="6">
        <f>996*E5^2*I5/0.072</f>
        <v>5.3120000000000021E-2</v>
      </c>
      <c r="K5" s="6">
        <f>(996*9.81*I5^2/0.072)</f>
        <v>4.885380000000001E-6</v>
      </c>
      <c r="L5" s="6"/>
      <c r="M5" s="4" t="s">
        <v>95</v>
      </c>
    </row>
    <row r="6" spans="1:13" x14ac:dyDescent="0.25">
      <c r="A6" s="4" t="s">
        <v>15</v>
      </c>
      <c r="B6" s="4" t="s">
        <v>20</v>
      </c>
      <c r="C6" s="4" t="s">
        <v>21</v>
      </c>
      <c r="D6" s="4" t="s">
        <v>23</v>
      </c>
      <c r="E6" s="4">
        <v>2.2999999999999998</v>
      </c>
      <c r="F6" s="6">
        <v>3.0000000000000001E-6</v>
      </c>
      <c r="G6" s="6">
        <v>1.1200000000000001E-6</v>
      </c>
      <c r="H6" s="4">
        <v>0.22</v>
      </c>
      <c r="I6" s="4"/>
      <c r="J6" s="4"/>
      <c r="K6" s="4"/>
      <c r="L6" s="4"/>
      <c r="M6" s="4" t="s">
        <v>95</v>
      </c>
    </row>
    <row r="7" spans="1:13" x14ac:dyDescent="0.25">
      <c r="A7" s="4" t="s">
        <v>16</v>
      </c>
      <c r="B7" s="4" t="s">
        <v>20</v>
      </c>
      <c r="C7" s="4" t="s">
        <v>22</v>
      </c>
      <c r="D7" s="4" t="s">
        <v>23</v>
      </c>
      <c r="E7" s="4">
        <v>14</v>
      </c>
      <c r="F7" s="6">
        <v>3.0000000000000001E-5</v>
      </c>
      <c r="G7" s="6">
        <v>1.22E-4</v>
      </c>
      <c r="H7" s="4">
        <v>81</v>
      </c>
      <c r="I7" s="4"/>
      <c r="J7" s="4"/>
      <c r="K7" s="4"/>
      <c r="L7" s="4"/>
      <c r="M7" s="4" t="s">
        <v>96</v>
      </c>
    </row>
    <row r="8" spans="1:13" x14ac:dyDescent="0.25">
      <c r="A8" s="4" t="s">
        <v>17</v>
      </c>
      <c r="B8" s="4" t="s">
        <v>20</v>
      </c>
      <c r="C8" s="4" t="s">
        <v>22</v>
      </c>
      <c r="D8" s="4" t="s">
        <v>23</v>
      </c>
      <c r="E8" s="4">
        <v>21</v>
      </c>
      <c r="F8" s="6">
        <v>1.5999999999999999E-5</v>
      </c>
      <c r="G8" s="6">
        <v>3.4700000000000003E-5</v>
      </c>
      <c r="H8" s="4">
        <v>98</v>
      </c>
      <c r="I8" s="4"/>
      <c r="J8" s="4"/>
      <c r="K8" s="4"/>
      <c r="L8" s="4"/>
      <c r="M8" s="4" t="s">
        <v>96</v>
      </c>
    </row>
    <row r="9" spans="1:13" x14ac:dyDescent="0.25">
      <c r="A9" s="4" t="s">
        <v>18</v>
      </c>
      <c r="B9" s="4" t="s">
        <v>20</v>
      </c>
      <c r="C9" s="4" t="s">
        <v>22</v>
      </c>
      <c r="D9" s="4" t="s">
        <v>23</v>
      </c>
      <c r="E9" s="4">
        <v>9</v>
      </c>
      <c r="F9" s="6">
        <v>7.7000000000000001E-5</v>
      </c>
      <c r="G9" s="6">
        <v>8.0400000000000003E-4</v>
      </c>
      <c r="H9" s="4">
        <v>86.6</v>
      </c>
      <c r="I9" s="4"/>
      <c r="J9" s="4"/>
      <c r="K9" s="4"/>
      <c r="L9" s="4"/>
      <c r="M9" s="4" t="s">
        <v>96</v>
      </c>
    </row>
    <row r="10" spans="1:13" x14ac:dyDescent="0.25">
      <c r="A10" s="4" t="s">
        <v>19</v>
      </c>
      <c r="B10" s="4" t="s">
        <v>20</v>
      </c>
      <c r="C10" s="4" t="s">
        <v>22</v>
      </c>
      <c r="D10" s="4" t="s">
        <v>23</v>
      </c>
      <c r="E10" s="4">
        <v>4</v>
      </c>
      <c r="F10" s="6">
        <v>8.6999999999999997E-6</v>
      </c>
      <c r="G10" s="6">
        <v>1.03E-5</v>
      </c>
      <c r="H10" s="4">
        <v>1.93</v>
      </c>
      <c r="I10" s="4"/>
      <c r="J10" s="4"/>
      <c r="K10" s="4"/>
      <c r="L10" s="4"/>
      <c r="M10" s="4" t="s">
        <v>96</v>
      </c>
    </row>
    <row r="11" spans="1:13" x14ac:dyDescent="0.25">
      <c r="A11" s="4" t="s">
        <v>24</v>
      </c>
      <c r="B11" s="4" t="s">
        <v>20</v>
      </c>
      <c r="C11" s="4" t="s">
        <v>30</v>
      </c>
      <c r="D11" s="4" t="s">
        <v>31</v>
      </c>
      <c r="E11" s="4">
        <v>0.4</v>
      </c>
      <c r="F11" s="6">
        <v>5.1999999999999997E-5</v>
      </c>
      <c r="G11" s="6">
        <v>3.7399999999999998E-4</v>
      </c>
      <c r="H11" s="4">
        <v>0.12</v>
      </c>
      <c r="I11" s="4">
        <f>0.000725</f>
        <v>7.2499999999999995E-4</v>
      </c>
      <c r="J11" s="6">
        <f>996*0.32^2*I11/0.072</f>
        <v>1.0269866666666667</v>
      </c>
      <c r="K11" s="6">
        <f>(996*9.81*I11^2/0.072)</f>
        <v>7.1329940625000005E-2</v>
      </c>
      <c r="L11" s="6">
        <f>(996*(175)^2*(I11/2)^3/0.072)</f>
        <v>2.0180269978841144E-2</v>
      </c>
      <c r="M11" s="4" t="s">
        <v>97</v>
      </c>
    </row>
    <row r="12" spans="1:13" x14ac:dyDescent="0.25">
      <c r="A12" s="4" t="s">
        <v>74</v>
      </c>
      <c r="B12" s="4" t="s">
        <v>20</v>
      </c>
      <c r="C12" s="4" t="s">
        <v>30</v>
      </c>
      <c r="D12" s="4" t="s">
        <v>31</v>
      </c>
      <c r="E12" s="4"/>
      <c r="F12" s="6"/>
      <c r="G12" s="6"/>
      <c r="H12" s="4"/>
      <c r="I12" s="4">
        <f>(523*10^(-6))</f>
        <v>5.2300000000000003E-4</v>
      </c>
      <c r="J12" s="6">
        <f>996*0.45^2*I12/0.072</f>
        <v>1.4650537500000005</v>
      </c>
      <c r="K12" s="6">
        <f>(996*9.81*I12^2/0.072)</f>
        <v>3.7119252945000007E-2</v>
      </c>
      <c r="L12" s="6">
        <f>(996*(2.4*10^3)^2*(I12/2)^3/0.072)</f>
        <v>1.4248344433200002</v>
      </c>
      <c r="M12" s="4" t="s">
        <v>97</v>
      </c>
    </row>
    <row r="13" spans="1:13" x14ac:dyDescent="0.25">
      <c r="A13" s="4" t="s">
        <v>25</v>
      </c>
      <c r="B13" s="4" t="s">
        <v>20</v>
      </c>
      <c r="C13" s="4" t="s">
        <v>30</v>
      </c>
      <c r="D13" s="4" t="s">
        <v>31</v>
      </c>
      <c r="E13" s="4">
        <v>0.16</v>
      </c>
      <c r="F13" s="6">
        <v>3.3000000000000003E-5</v>
      </c>
      <c r="G13" s="6">
        <v>1.4999999999999999E-4</v>
      </c>
      <c r="H13" s="4">
        <v>0.01</v>
      </c>
      <c r="I13" s="6">
        <v>4.6999999999999999E-4</v>
      </c>
      <c r="J13" s="6">
        <f>996*E13^2*I13/0.072</f>
        <v>0.16644266666666671</v>
      </c>
      <c r="K13" s="6">
        <f t="shared" ref="K13:K14" si="0">(996*9.81*I13^2/0.072)</f>
        <v>2.9977234500000005E-2</v>
      </c>
      <c r="L13" s="6"/>
      <c r="M13" s="4" t="s">
        <v>97</v>
      </c>
    </row>
    <row r="14" spans="1:13" x14ac:dyDescent="0.25">
      <c r="A14" s="4" t="s">
        <v>26</v>
      </c>
      <c r="B14" s="4" t="s">
        <v>20</v>
      </c>
      <c r="C14" s="4" t="s">
        <v>30</v>
      </c>
      <c r="D14" s="4" t="s">
        <v>31</v>
      </c>
      <c r="E14" s="4">
        <v>0.06</v>
      </c>
      <c r="F14" s="6">
        <v>4.1999999999999998E-5</v>
      </c>
      <c r="G14" s="6">
        <v>2.4000000000000001E-4</v>
      </c>
      <c r="H14" s="4">
        <v>2E-3</v>
      </c>
      <c r="I14" s="6">
        <v>3.6900000000000002E-4</v>
      </c>
      <c r="J14" s="6">
        <f>996*E14^2*I14/0.072</f>
        <v>1.8376200000000002E-2</v>
      </c>
      <c r="K14" s="6">
        <f t="shared" si="0"/>
        <v>1.8477728505000006E-2</v>
      </c>
      <c r="L14" s="6"/>
      <c r="M14" s="4" t="s">
        <v>97</v>
      </c>
    </row>
    <row r="15" spans="1:13" x14ac:dyDescent="0.25">
      <c r="A15" s="4" t="s">
        <v>32</v>
      </c>
      <c r="B15" s="4" t="s">
        <v>29</v>
      </c>
      <c r="C15" s="4" t="s">
        <v>33</v>
      </c>
      <c r="D15" s="4" t="s">
        <v>31</v>
      </c>
      <c r="E15" s="4">
        <v>7.0000000000000007E-2</v>
      </c>
      <c r="F15" s="6">
        <v>4.0000000000000003E-5</v>
      </c>
      <c r="G15" s="6">
        <v>3.1199999999999999E-4</v>
      </c>
      <c r="H15" s="4">
        <v>3.0000000000000001E-3</v>
      </c>
      <c r="I15" s="6">
        <v>2.0000000000000001E-4</v>
      </c>
      <c r="J15" s="6">
        <f>996*E15^2*I15/0.05</f>
        <v>1.9521600000000004E-2</v>
      </c>
      <c r="K15" s="6">
        <f>996*F15^2*J15/0.05</f>
        <v>6.2219243520000029E-7</v>
      </c>
      <c r="L15" s="6"/>
      <c r="M15" s="9" t="s">
        <v>0</v>
      </c>
    </row>
    <row r="16" spans="1:13" x14ac:dyDescent="0.25">
      <c r="A16" s="4" t="s">
        <v>34</v>
      </c>
      <c r="B16" s="4" t="s">
        <v>35</v>
      </c>
      <c r="C16" s="4" t="s">
        <v>36</v>
      </c>
      <c r="D16" s="4" t="s">
        <v>37</v>
      </c>
      <c r="E16" s="4">
        <v>0.04</v>
      </c>
      <c r="F16" s="6">
        <v>1E-4</v>
      </c>
      <c r="G16" s="4">
        <v>1.4E-3</v>
      </c>
      <c r="H16" s="4">
        <v>2.2000000000000001E-3</v>
      </c>
      <c r="I16" s="4"/>
      <c r="J16" s="4"/>
      <c r="K16" s="4"/>
      <c r="L16" s="4"/>
      <c r="M16" s="9" t="s">
        <v>1</v>
      </c>
    </row>
    <row r="17" spans="1:13" x14ac:dyDescent="0.25">
      <c r="A17" s="4" t="s">
        <v>38</v>
      </c>
      <c r="B17" s="4" t="s">
        <v>39</v>
      </c>
      <c r="C17" s="4" t="s">
        <v>40</v>
      </c>
      <c r="D17" s="4" t="s">
        <v>41</v>
      </c>
      <c r="E17" s="4">
        <v>0.24</v>
      </c>
      <c r="F17" s="6">
        <v>1E-4</v>
      </c>
      <c r="G17" s="4">
        <v>1.4E-3</v>
      </c>
      <c r="H17" s="4">
        <v>7.9000000000000001E-2</v>
      </c>
      <c r="I17" s="4"/>
      <c r="J17" s="4"/>
      <c r="K17" s="4"/>
      <c r="L17" s="4"/>
      <c r="M17" s="10" t="s">
        <v>2</v>
      </c>
    </row>
    <row r="18" spans="1:13" x14ac:dyDescent="0.25">
      <c r="A18" s="4" t="s">
        <v>42</v>
      </c>
      <c r="B18" s="4" t="s">
        <v>39</v>
      </c>
      <c r="C18" s="4" t="s">
        <v>40</v>
      </c>
      <c r="D18" s="4" t="s">
        <v>41</v>
      </c>
      <c r="E18" s="4">
        <v>0.12</v>
      </c>
      <c r="F18" s="6">
        <v>1.2E-4</v>
      </c>
      <c r="G18" s="4">
        <v>2E-3</v>
      </c>
      <c r="H18" s="4">
        <v>2.3900000000000001E-2</v>
      </c>
      <c r="I18" s="4"/>
      <c r="J18" s="4"/>
      <c r="K18" s="4"/>
      <c r="L18" s="4"/>
      <c r="M18" s="9" t="s">
        <v>3</v>
      </c>
    </row>
    <row r="19" spans="1:13" x14ac:dyDescent="0.25">
      <c r="A19" s="4" t="s">
        <v>9</v>
      </c>
      <c r="B19" s="4" t="s">
        <v>20</v>
      </c>
      <c r="C19" s="4" t="s">
        <v>8</v>
      </c>
      <c r="D19" s="4" t="s">
        <v>31</v>
      </c>
      <c r="E19" s="4">
        <v>0.9</v>
      </c>
      <c r="F19" s="6">
        <v>3.6400000000000001E-4</v>
      </c>
      <c r="G19" s="4">
        <v>0.02</v>
      </c>
      <c r="H19" s="4">
        <v>4.0999999999999996</v>
      </c>
      <c r="I19" s="4"/>
      <c r="J19" s="4"/>
      <c r="K19" s="4"/>
      <c r="L19" s="4"/>
      <c r="M19" s="8" t="s">
        <v>98</v>
      </c>
    </row>
    <row r="20" spans="1:13" x14ac:dyDescent="0.25">
      <c r="A20" s="4" t="s">
        <v>43</v>
      </c>
      <c r="B20" s="4" t="s">
        <v>39</v>
      </c>
      <c r="C20" s="4" t="s">
        <v>8</v>
      </c>
      <c r="D20" s="4" t="s">
        <v>41</v>
      </c>
      <c r="E20" s="4">
        <v>0.72</v>
      </c>
      <c r="F20" s="6">
        <v>6.4700000000000001E-4</v>
      </c>
      <c r="G20" s="4">
        <v>0.06</v>
      </c>
      <c r="H20" s="4">
        <v>4.67</v>
      </c>
      <c r="I20" s="4"/>
      <c r="J20" s="4"/>
      <c r="K20" s="4"/>
      <c r="L20" s="4"/>
      <c r="M20" s="10" t="s">
        <v>94</v>
      </c>
    </row>
    <row r="21" spans="1:13" x14ac:dyDescent="0.25">
      <c r="A21" s="4" t="s">
        <v>44</v>
      </c>
      <c r="B21" s="4" t="s">
        <v>39</v>
      </c>
      <c r="C21" s="4" t="s">
        <v>8</v>
      </c>
      <c r="D21" s="4" t="s">
        <v>41</v>
      </c>
      <c r="E21" s="4">
        <v>0.37</v>
      </c>
      <c r="F21" s="6">
        <v>7.3999999999999999E-4</v>
      </c>
      <c r="G21" s="4">
        <v>7.0000000000000007E-2</v>
      </c>
      <c r="H21" s="4">
        <v>1.45</v>
      </c>
      <c r="I21" s="4"/>
      <c r="J21" s="4"/>
      <c r="K21" s="4"/>
      <c r="L21" s="4"/>
      <c r="M21" s="10" t="s">
        <v>93</v>
      </c>
    </row>
    <row r="22" spans="1:13" x14ac:dyDescent="0.25">
      <c r="A22" s="4" t="s">
        <v>45</v>
      </c>
      <c r="B22" s="4" t="s">
        <v>46</v>
      </c>
      <c r="C22" s="4" t="s">
        <v>7</v>
      </c>
      <c r="D22" s="4" t="s">
        <v>31</v>
      </c>
      <c r="E22" s="4">
        <v>0.1</v>
      </c>
      <c r="F22" s="6">
        <v>1E-3</v>
      </c>
      <c r="G22" s="4">
        <v>0.13</v>
      </c>
      <c r="H22" s="4">
        <v>0.14000000000000001</v>
      </c>
      <c r="I22" s="4"/>
      <c r="J22" s="4"/>
      <c r="K22" s="4"/>
      <c r="L22" s="4"/>
      <c r="M22" s="10" t="s">
        <v>92</v>
      </c>
    </row>
    <row r="23" spans="1:13" x14ac:dyDescent="0.25">
      <c r="A23" s="4" t="s">
        <v>47</v>
      </c>
      <c r="B23" s="4" t="s">
        <v>46</v>
      </c>
      <c r="C23" s="4" t="s">
        <v>7</v>
      </c>
      <c r="D23" s="4" t="s">
        <v>31</v>
      </c>
      <c r="E23" s="4">
        <v>0.34</v>
      </c>
      <c r="F23" s="6">
        <v>8.0000000000000004E-4</v>
      </c>
      <c r="G23" s="4">
        <v>0.09</v>
      </c>
      <c r="H23" s="4">
        <v>1.28</v>
      </c>
      <c r="I23" s="6">
        <v>7.0000000000000001E-3</v>
      </c>
      <c r="J23" s="5">
        <f>996*E23^2*I23/0.05</f>
        <v>16.119264000000005</v>
      </c>
      <c r="K23" s="6">
        <f>996*F23^2*J23/0.05</f>
        <v>0.20550127288320003</v>
      </c>
      <c r="L23" s="6"/>
      <c r="M23" s="4" t="s">
        <v>99</v>
      </c>
    </row>
    <row r="24" spans="1:13" x14ac:dyDescent="0.25">
      <c r="A24" s="4" t="s">
        <v>48</v>
      </c>
      <c r="B24" s="4" t="s">
        <v>46</v>
      </c>
      <c r="C24" s="4" t="s">
        <v>8</v>
      </c>
      <c r="D24" s="4" t="s">
        <v>31</v>
      </c>
      <c r="E24" s="4">
        <v>0.5</v>
      </c>
      <c r="F24" s="4">
        <v>3.2000000000000002E-3</v>
      </c>
      <c r="G24" s="4">
        <v>1.39</v>
      </c>
      <c r="H24" s="4">
        <v>11</v>
      </c>
      <c r="I24" s="4"/>
      <c r="J24" s="4"/>
      <c r="K24" s="4"/>
      <c r="L24" s="4"/>
      <c r="M24" s="4" t="s">
        <v>99</v>
      </c>
    </row>
    <row r="25" spans="1:13" x14ac:dyDescent="0.25">
      <c r="A25" s="4" t="s">
        <v>49</v>
      </c>
      <c r="B25" s="4" t="s">
        <v>46</v>
      </c>
      <c r="C25" s="4" t="s">
        <v>8</v>
      </c>
      <c r="D25" s="4" t="s">
        <v>31</v>
      </c>
      <c r="E25" s="4">
        <v>0.36</v>
      </c>
      <c r="F25" s="4">
        <v>3.3000000000000002E-2</v>
      </c>
      <c r="G25" s="4">
        <v>1.48</v>
      </c>
      <c r="H25" s="4">
        <v>6</v>
      </c>
      <c r="I25" s="4"/>
      <c r="J25" s="4"/>
      <c r="K25" s="4"/>
      <c r="L25" s="4"/>
      <c r="M25" s="4" t="s">
        <v>99</v>
      </c>
    </row>
    <row r="26" spans="1:13" x14ac:dyDescent="0.25">
      <c r="A26" s="4" t="s">
        <v>50</v>
      </c>
      <c r="B26" s="4" t="s">
        <v>46</v>
      </c>
      <c r="C26" s="4" t="s">
        <v>8</v>
      </c>
      <c r="D26" s="4" t="s">
        <v>31</v>
      </c>
      <c r="E26" s="4">
        <v>0.7</v>
      </c>
      <c r="F26" s="4">
        <v>6.0000000000000001E-3</v>
      </c>
      <c r="G26" s="4">
        <v>4.88</v>
      </c>
      <c r="H26" s="4">
        <v>40</v>
      </c>
      <c r="I26" s="4"/>
      <c r="J26" s="4"/>
      <c r="K26" s="4"/>
      <c r="L26" s="4"/>
      <c r="M26" s="4" t="s">
        <v>99</v>
      </c>
    </row>
    <row r="27" spans="1:13" x14ac:dyDescent="0.25">
      <c r="A27" s="4" t="s">
        <v>51</v>
      </c>
      <c r="B27" s="4" t="s">
        <v>46</v>
      </c>
      <c r="C27" s="4" t="s">
        <v>8</v>
      </c>
      <c r="D27" s="4" t="s">
        <v>31</v>
      </c>
      <c r="E27" s="4">
        <v>0.7</v>
      </c>
      <c r="F27" s="4">
        <v>7.0000000000000001E-3</v>
      </c>
      <c r="G27" s="4">
        <v>7.23</v>
      </c>
      <c r="H27" s="4">
        <v>50</v>
      </c>
      <c r="I27" s="4"/>
      <c r="J27" s="4"/>
      <c r="K27" s="4"/>
      <c r="L27" s="4"/>
      <c r="M27" s="4" t="s">
        <v>99</v>
      </c>
    </row>
    <row r="28" spans="1:13" x14ac:dyDescent="0.25">
      <c r="A28" s="4" t="s">
        <v>52</v>
      </c>
      <c r="B28" s="4" t="s">
        <v>46</v>
      </c>
      <c r="C28" s="4" t="s">
        <v>8</v>
      </c>
      <c r="D28" s="4" t="s">
        <v>31</v>
      </c>
      <c r="E28" s="4">
        <v>0.87</v>
      </c>
      <c r="F28" s="4">
        <v>6.0000000000000001E-3</v>
      </c>
      <c r="G28" s="4">
        <v>4.88</v>
      </c>
      <c r="H28" s="4">
        <v>63</v>
      </c>
      <c r="I28" s="4"/>
      <c r="J28" s="4"/>
      <c r="K28" s="4"/>
      <c r="L28" s="4"/>
      <c r="M28" s="4" t="s">
        <v>99</v>
      </c>
    </row>
    <row r="29" spans="1:13" x14ac:dyDescent="0.25">
      <c r="A29" s="4" t="s">
        <v>53</v>
      </c>
      <c r="B29" s="4" t="s">
        <v>46</v>
      </c>
      <c r="C29" s="4" t="s">
        <v>8</v>
      </c>
      <c r="D29" s="4" t="s">
        <v>31</v>
      </c>
      <c r="E29" s="4">
        <v>0.6</v>
      </c>
      <c r="F29" s="4">
        <v>6.0000000000000001E-3</v>
      </c>
      <c r="G29" s="4">
        <v>4.88</v>
      </c>
      <c r="H29" s="4">
        <v>30</v>
      </c>
      <c r="I29" s="4"/>
      <c r="J29" s="4"/>
      <c r="K29" s="4"/>
      <c r="L29" s="4"/>
      <c r="M29" s="4" t="s">
        <v>99</v>
      </c>
    </row>
    <row r="30" spans="1:13" x14ac:dyDescent="0.25">
      <c r="A30" s="4" t="s">
        <v>54</v>
      </c>
      <c r="B30" s="4" t="s">
        <v>46</v>
      </c>
      <c r="C30" s="4" t="s">
        <v>8</v>
      </c>
      <c r="D30" s="4" t="s">
        <v>31</v>
      </c>
      <c r="E30" s="4">
        <v>0.21</v>
      </c>
      <c r="F30" s="4">
        <v>0.03</v>
      </c>
      <c r="G30" s="4">
        <v>122</v>
      </c>
      <c r="H30" s="4">
        <v>19</v>
      </c>
      <c r="I30" s="4"/>
      <c r="J30" s="4"/>
      <c r="K30" s="4"/>
      <c r="L30" s="4"/>
      <c r="M30" s="4" t="s">
        <v>99</v>
      </c>
    </row>
    <row r="31" spans="1:13" x14ac:dyDescent="0.25">
      <c r="A31" s="4" t="s">
        <v>55</v>
      </c>
      <c r="B31" s="4" t="s">
        <v>46</v>
      </c>
      <c r="C31" s="4" t="s">
        <v>8</v>
      </c>
      <c r="D31" s="4" t="s">
        <v>31</v>
      </c>
      <c r="E31" s="4">
        <v>0.15</v>
      </c>
      <c r="F31" s="4">
        <v>1.4999999999999999E-2</v>
      </c>
      <c r="G31" s="4">
        <v>30</v>
      </c>
      <c r="H31" s="4">
        <v>4.5999999999999996</v>
      </c>
      <c r="I31" s="4"/>
      <c r="J31" s="4"/>
      <c r="K31" s="4"/>
      <c r="L31" s="4"/>
      <c r="M31" s="4" t="s">
        <v>99</v>
      </c>
    </row>
    <row r="32" spans="1:13" x14ac:dyDescent="0.25">
      <c r="A32" s="4" t="s">
        <v>56</v>
      </c>
      <c r="B32" s="4" t="s">
        <v>46</v>
      </c>
      <c r="C32" s="4" t="s">
        <v>8</v>
      </c>
      <c r="D32" s="4" t="s">
        <v>31</v>
      </c>
      <c r="E32" s="4">
        <v>1.1599999999999999</v>
      </c>
      <c r="F32" s="4">
        <v>2.5000000000000001E-2</v>
      </c>
      <c r="G32" s="4">
        <v>85</v>
      </c>
      <c r="H32" s="4">
        <v>465</v>
      </c>
      <c r="I32" s="4"/>
      <c r="J32" s="4"/>
      <c r="K32" s="4"/>
      <c r="L32" s="4"/>
      <c r="M32" s="4" t="s">
        <v>99</v>
      </c>
    </row>
    <row r="33" spans="1:13" x14ac:dyDescent="0.25">
      <c r="A33" s="4" t="s">
        <v>57</v>
      </c>
      <c r="B33" s="4" t="s">
        <v>46</v>
      </c>
      <c r="C33" s="4" t="s">
        <v>8</v>
      </c>
      <c r="D33" s="4" t="s">
        <v>31</v>
      </c>
      <c r="E33" s="4">
        <v>1.17</v>
      </c>
      <c r="F33" s="4">
        <v>2.5000000000000001E-2</v>
      </c>
      <c r="G33" s="4">
        <v>84</v>
      </c>
      <c r="H33" s="4">
        <v>473</v>
      </c>
      <c r="I33" s="4"/>
      <c r="J33" s="4"/>
      <c r="K33" s="4"/>
      <c r="L33" s="4"/>
      <c r="M33" s="4" t="s">
        <v>99</v>
      </c>
    </row>
    <row r="34" spans="1:13" x14ac:dyDescent="0.25">
      <c r="A34" s="4" t="s">
        <v>58</v>
      </c>
      <c r="B34" s="4" t="s">
        <v>46</v>
      </c>
      <c r="C34" s="4" t="s">
        <v>64</v>
      </c>
      <c r="D34" s="4" t="s">
        <v>31</v>
      </c>
      <c r="E34" s="4">
        <v>0.43</v>
      </c>
      <c r="F34" s="4">
        <v>4.4999999999999998E-2</v>
      </c>
      <c r="G34" s="4">
        <v>274</v>
      </c>
      <c r="H34" s="4">
        <v>115</v>
      </c>
      <c r="I34" s="4"/>
      <c r="J34" s="4"/>
      <c r="K34" s="4"/>
      <c r="L34" s="4"/>
      <c r="M34" s="4" t="s">
        <v>99</v>
      </c>
    </row>
    <row r="35" spans="1:13" x14ac:dyDescent="0.25">
      <c r="A35" s="4" t="s">
        <v>59</v>
      </c>
      <c r="B35" s="4" t="s">
        <v>46</v>
      </c>
      <c r="C35" s="4" t="s">
        <v>64</v>
      </c>
      <c r="D35" s="4" t="s">
        <v>31</v>
      </c>
      <c r="E35" s="4">
        <v>0.48</v>
      </c>
      <c r="F35" s="4">
        <v>0.05</v>
      </c>
      <c r="G35" s="4">
        <v>374</v>
      </c>
      <c r="H35" s="4">
        <v>167</v>
      </c>
      <c r="I35" s="4"/>
      <c r="J35" s="4"/>
      <c r="K35" s="4"/>
      <c r="L35" s="4"/>
      <c r="M35" s="4" t="s">
        <v>99</v>
      </c>
    </row>
    <row r="36" spans="1:13" x14ac:dyDescent="0.25">
      <c r="A36" s="4" t="s">
        <v>60</v>
      </c>
      <c r="B36" s="4" t="s">
        <v>46</v>
      </c>
      <c r="C36" s="4" t="s">
        <v>64</v>
      </c>
      <c r="D36" s="4" t="s">
        <v>31</v>
      </c>
      <c r="E36" s="4">
        <v>0.52</v>
      </c>
      <c r="F36" s="4">
        <v>3.5000000000000003E-2</v>
      </c>
      <c r="G36" s="4">
        <v>166</v>
      </c>
      <c r="H36" s="4">
        <v>130</v>
      </c>
      <c r="I36" s="4"/>
      <c r="J36" s="4"/>
      <c r="K36" s="4"/>
      <c r="L36" s="4"/>
      <c r="M36" s="4" t="s">
        <v>99</v>
      </c>
    </row>
    <row r="37" spans="1:13" x14ac:dyDescent="0.25">
      <c r="A37" s="4" t="s">
        <v>61</v>
      </c>
      <c r="B37" s="4" t="s">
        <v>46</v>
      </c>
      <c r="C37" s="4" t="s">
        <v>64</v>
      </c>
      <c r="D37" s="4" t="s">
        <v>31</v>
      </c>
      <c r="E37" s="4">
        <v>0.44</v>
      </c>
      <c r="F37" s="4">
        <v>4.8000000000000001E-2</v>
      </c>
      <c r="G37" s="4">
        <v>312</v>
      </c>
      <c r="H37" s="4">
        <v>128</v>
      </c>
      <c r="I37" s="4"/>
      <c r="J37" s="4"/>
      <c r="K37" s="4"/>
      <c r="L37" s="4"/>
      <c r="M37" s="4" t="s">
        <v>99</v>
      </c>
    </row>
    <row r="38" spans="1:13" x14ac:dyDescent="0.25">
      <c r="A38" s="4" t="s">
        <v>62</v>
      </c>
      <c r="B38" s="4" t="s">
        <v>67</v>
      </c>
      <c r="C38" s="4" t="s">
        <v>8</v>
      </c>
      <c r="D38" s="4" t="s">
        <v>65</v>
      </c>
      <c r="E38" s="4">
        <v>5</v>
      </c>
      <c r="F38" s="6">
        <v>5.2839999999999996E-3</v>
      </c>
      <c r="G38" s="4">
        <v>0.01</v>
      </c>
      <c r="H38" s="4">
        <v>97</v>
      </c>
      <c r="I38" s="4"/>
      <c r="J38" s="4"/>
      <c r="K38" s="4"/>
      <c r="L38" s="4"/>
      <c r="M38" s="4" t="s">
        <v>100</v>
      </c>
    </row>
    <row r="39" spans="1:13" x14ac:dyDescent="0.25">
      <c r="A39" s="4" t="s">
        <v>63</v>
      </c>
      <c r="B39" s="4" t="s">
        <v>20</v>
      </c>
      <c r="C39" s="4" t="s">
        <v>8</v>
      </c>
      <c r="D39" s="4" t="s">
        <v>66</v>
      </c>
      <c r="E39" s="4">
        <v>2</v>
      </c>
      <c r="F39" s="4">
        <v>5.0000000000000001E-3</v>
      </c>
      <c r="G39" s="4">
        <v>3.4</v>
      </c>
      <c r="H39" s="4">
        <v>280</v>
      </c>
      <c r="I39" s="4"/>
      <c r="J39" s="4"/>
      <c r="K39" s="4"/>
      <c r="L39" s="4"/>
      <c r="M39" s="4" t="s">
        <v>101</v>
      </c>
    </row>
    <row r="40" spans="1:13" x14ac:dyDescent="0.25">
      <c r="A40" s="4" t="s">
        <v>69</v>
      </c>
      <c r="B40" s="4" t="s">
        <v>20</v>
      </c>
      <c r="C40" s="4" t="s">
        <v>7</v>
      </c>
      <c r="D40" s="4" t="s">
        <v>70</v>
      </c>
      <c r="E40" s="4"/>
      <c r="F40" s="4"/>
      <c r="G40" s="4">
        <v>1</v>
      </c>
      <c r="H40" s="6">
        <v>1E-3</v>
      </c>
      <c r="I40" s="4"/>
      <c r="J40" s="4"/>
      <c r="K40" s="4"/>
      <c r="L40" s="4"/>
      <c r="M40" s="4"/>
    </row>
    <row r="41" spans="1:13" x14ac:dyDescent="0.25">
      <c r="A41" s="4"/>
      <c r="B41" s="4"/>
      <c r="C41" s="4"/>
      <c r="D41" s="4"/>
      <c r="E41" s="4"/>
      <c r="F41" s="4"/>
      <c r="G41" s="4"/>
      <c r="H41" s="4"/>
      <c r="I41" s="4"/>
      <c r="J41" s="7"/>
      <c r="K41" s="7"/>
      <c r="L41" s="7"/>
      <c r="M41" s="4"/>
    </row>
    <row r="42" spans="1:13" x14ac:dyDescent="0.25">
      <c r="A42" s="4"/>
      <c r="B42" s="4"/>
      <c r="C42" s="4"/>
      <c r="D42" s="4"/>
      <c r="E42" s="4"/>
      <c r="F42" s="4"/>
      <c r="G42" s="4"/>
      <c r="H42" s="4"/>
      <c r="I42" s="4"/>
      <c r="J42" s="7"/>
      <c r="K42" s="7"/>
      <c r="L42" s="7"/>
      <c r="M42" s="4"/>
    </row>
  </sheetData>
  <hyperlinks>
    <hyperlink ref="M17" r:id="rId1" xr:uid="{ED34DA32-F2A0-4991-90E8-545A3FB25A97}"/>
    <hyperlink ref="M22" r:id="rId2" xr:uid="{241C310C-EA6D-4FC4-B1FA-8DE96C149E34}"/>
    <hyperlink ref="M21" r:id="rId3" xr:uid="{6D576070-94E5-428D-870D-37FC866A34A5}"/>
    <hyperlink ref="M20" r:id="rId4" xr:uid="{76E9CC3D-644A-4EAA-9144-87BD7A369FA6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Tab1. gut exit diameter, d</vt:lpstr>
      <vt:lpstr>Tab2. Dimensionless number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Challita, Elio</dc:creator>
  <cp:lastModifiedBy>Ha, Namyi</cp:lastModifiedBy>
  <dcterms:created xsi:type="dcterms:W3CDTF">2023-12-26T01:14:54Z</dcterms:created>
  <dcterms:modified xsi:type="dcterms:W3CDTF">2026-03-05T18:05:16Z</dcterms:modified>
</cp:coreProperties>
</file>