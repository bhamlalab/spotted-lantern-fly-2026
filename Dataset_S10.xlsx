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SDA SLF drop excretion data\Manuscript_honeydew excretion by SLF\Figures\Final figures\Modified final figures\Saad comment\saad second comment\Dataset\"/>
    </mc:Choice>
  </mc:AlternateContent>
  <xr:revisionPtr revIDLastSave="0" documentId="13_ncr:1_{6F0FB1F4-E8CA-4540-B1B5-37FC1915F4C3}" xr6:coauthVersionLast="47" xr6:coauthVersionMax="47" xr10:uidLastSave="{00000000-0000-0000-0000-000000000000}"/>
  <bookViews>
    <workbookView xWindow="28680" yWindow="-120" windowWidth="29040" windowHeight="15840" activeTab="1" xr2:uid="{4E03EECC-B705-4766-982D-6332D0836E98}"/>
  </bookViews>
  <sheets>
    <sheet name="Tab 1. Max angular speed_accel" sheetId="1" r:id="rId1"/>
    <sheet name="Tab 2. Max linear accel stylu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4" i="1" l="1"/>
  <c r="E124" i="1"/>
  <c r="D124" i="1"/>
  <c r="C124" i="1"/>
  <c r="B124" i="1"/>
  <c r="F81" i="1"/>
  <c r="E81" i="1"/>
  <c r="D81" i="1"/>
  <c r="C81" i="1"/>
  <c r="B81" i="1"/>
  <c r="F41" i="1"/>
  <c r="E41" i="1"/>
  <c r="D41" i="1"/>
  <c r="C41" i="1"/>
  <c r="B41" i="1"/>
  <c r="D75" i="2"/>
  <c r="D76" i="2" l="1"/>
  <c r="B76" i="2"/>
  <c r="B75" i="2"/>
</calcChain>
</file>

<file path=xl/sharedStrings.xml><?xml version="1.0" encoding="utf-8"?>
<sst xmlns="http://schemas.openxmlformats.org/spreadsheetml/2006/main" count="250" uniqueCount="120">
  <si>
    <t>File name (Female)</t>
  </si>
  <si>
    <t>Max Abs angular speed of stylus [degree/s]</t>
  </si>
  <si>
    <t>Max Abs angular acceleration of stylus [degree/s^2]</t>
  </si>
  <si>
    <t>Max Abs angular speed of stylus [rad/s]</t>
  </si>
  <si>
    <t>Max linear speed of stylus [m/s]</t>
  </si>
  <si>
    <t>Max Abs angular acceleration of stylus [rad/s^2]</t>
  </si>
  <si>
    <t>SLF_female_3X_081623_h_13</t>
  </si>
  <si>
    <t>SLF_female_3X_081623_l_01</t>
  </si>
  <si>
    <t>SLF_female_3X_081623_h_23</t>
  </si>
  <si>
    <t>SLF_female_3X_081623_l_02</t>
  </si>
  <si>
    <t>SLF_female_3X_081623_h_14</t>
  </si>
  <si>
    <t>SLF_female_3X_081623_h_15</t>
  </si>
  <si>
    <t>SLF_female_3X_081623_h_16</t>
  </si>
  <si>
    <t>SLF_female_3X_081623_h_17</t>
  </si>
  <si>
    <t>SLF_female_3X_081623_h_18</t>
  </si>
  <si>
    <t>SLF_female_3X_081623_h_19</t>
  </si>
  <si>
    <t>SLF_female_3X_081623_h_20</t>
  </si>
  <si>
    <t>SLF_female_3X_081623_h_21</t>
  </si>
  <si>
    <t>SLF_female_3X_081623_l_03</t>
  </si>
  <si>
    <t>SLF_female_3X_081623_l_04</t>
  </si>
  <si>
    <t>SLF_female_3X_081623_l_08</t>
  </si>
  <si>
    <t>SLF_female_3X_081623_l_09</t>
  </si>
  <si>
    <t>SLF_female_3X_081623_l_11</t>
  </si>
  <si>
    <t>SLF_female_3X_081623_l_12</t>
  </si>
  <si>
    <t>SLF_female_3X_081623_l_5</t>
  </si>
  <si>
    <t>SLF_female_3X_081623_l_6</t>
  </si>
  <si>
    <t>SLF_female_3X_081623_l_7</t>
  </si>
  <si>
    <t>SLF_05.24.23_7200fps_2X_c_01</t>
  </si>
  <si>
    <t>SLF_05.24.23_7200fps_2X_c_02</t>
  </si>
  <si>
    <t>SLF_05.24.23_7200fps_2X_c_03</t>
  </si>
  <si>
    <t>SLF_05.24.23_7200fps_2X_c_04</t>
  </si>
  <si>
    <t>SLF_female_3X_081623_h_1</t>
  </si>
  <si>
    <t>SLF_female_3X_081623_h_2</t>
  </si>
  <si>
    <t>SLF_female_3X_081623_h_3</t>
  </si>
  <si>
    <t>SLF_female_3X_081623_h_4</t>
  </si>
  <si>
    <t>SLF_female_3X_081623_h_5</t>
  </si>
  <si>
    <t>SLF_female_3X_081623_h_6</t>
  </si>
  <si>
    <t>SLF_female_3X_081623_h_7</t>
  </si>
  <si>
    <t>SLF_female_3X_081623_h_8</t>
  </si>
  <si>
    <t>SLF_female_3X_081623_h_9</t>
  </si>
  <si>
    <t>SLF_female_3X_081623_h_10</t>
  </si>
  <si>
    <t>SLF_female_3X_081623_h_11</t>
  </si>
  <si>
    <t>SLF_female_3X_081623_h_12</t>
  </si>
  <si>
    <t>Average</t>
  </si>
  <si>
    <t>File name (Male)</t>
  </si>
  <si>
    <t>SLF_male_3X_081623_j_01</t>
  </si>
  <si>
    <t>SLF_male_3X_081623_j_02</t>
  </si>
  <si>
    <t>SLF_male_3X_081623_j_03</t>
  </si>
  <si>
    <t>SLF_male_3X_081623_j_04</t>
  </si>
  <si>
    <t>SLF_male_3X_081623_j_05</t>
  </si>
  <si>
    <t>SLF_male_3X_081623_j_06</t>
  </si>
  <si>
    <t>SLF_male_3X_081623_j_18</t>
  </si>
  <si>
    <t>SLF_male_3X_081623_j_19</t>
  </si>
  <si>
    <t>SLF_male_3X_081623_j_20</t>
  </si>
  <si>
    <t>SLF_male_3X_081623_j_21</t>
  </si>
  <si>
    <t>SLF_male_3X_081623_j_22</t>
  </si>
  <si>
    <t>SLF_male_3X_081623_j_08</t>
  </si>
  <si>
    <t>SLF_male_3X_081623_j_09</t>
  </si>
  <si>
    <t>SLF_male_3X_081623_j_10</t>
  </si>
  <si>
    <t>SLF_male_3X_081623_j_11</t>
  </si>
  <si>
    <t>SLF_male_3X_081623_j_12</t>
  </si>
  <si>
    <t>SLF_male_3X_081623_j_13</t>
  </si>
  <si>
    <t>SLF_male_3X_081623_j_14</t>
  </si>
  <si>
    <t>SLF_male_3X_081623_j_15</t>
  </si>
  <si>
    <t>SLF_male_3X_081623_j_16</t>
  </si>
  <si>
    <t>SLF_male_3X_081623_j_17</t>
  </si>
  <si>
    <t>SLF_male_3X_f_01</t>
  </si>
  <si>
    <t>SLF_male_3X_f_02</t>
  </si>
  <si>
    <t>SLF_male_3X_f_03</t>
  </si>
  <si>
    <t>SLF_male_3X_f_05</t>
  </si>
  <si>
    <t>SLF_male_3X_f_06</t>
  </si>
  <si>
    <t>SLF_male_3X_f_07</t>
  </si>
  <si>
    <t>SLF_male_3X_f_08</t>
  </si>
  <si>
    <t>SLF_male_3X_f_09</t>
  </si>
  <si>
    <t>SLF_male_3X_f_10</t>
  </si>
  <si>
    <t>SLF_male_3X_081623_g_01</t>
  </si>
  <si>
    <t>SLF_male_3X_081623_g_02</t>
  </si>
  <si>
    <t>SLF_male_3X_081623_g_03</t>
  </si>
  <si>
    <t>File name (4th instar nymph)</t>
  </si>
  <si>
    <t>SLF_05.25.23_18000fps_1X_4th_1</t>
  </si>
  <si>
    <t>SLF_05.25.23_18000fps_1X_4th_2</t>
  </si>
  <si>
    <t>SLF_05.25.23_18000fps_1X_4th_3</t>
  </si>
  <si>
    <t>SLF_05.25.23_18000fps_1X_4th_4</t>
  </si>
  <si>
    <t>SLF_05.25.23_18000fps_1X_4th_5</t>
  </si>
  <si>
    <t>SLF_05.25.23_18000fps_1X_4th_6</t>
  </si>
  <si>
    <t>SLF_05.25.23_18000fps_1X_4th_7</t>
  </si>
  <si>
    <t>SLF_05.25.23_18000fps_1X_4th_8</t>
  </si>
  <si>
    <t>SLF_05.25.23_18000fps_1X_4th_9</t>
  </si>
  <si>
    <t>SLF_05.25.23_18000fps_1X_4th_10</t>
  </si>
  <si>
    <t>SLF_05.25.23_18000fps_1X_4th_11</t>
  </si>
  <si>
    <t>SLF_05.25.23_18000fps_1X_4th_12</t>
  </si>
  <si>
    <t>SLF_05.25.23_18000fps_1X_4th_13</t>
  </si>
  <si>
    <t>SLF_05.25.23_18000fps_1X_4th_14</t>
  </si>
  <si>
    <t>SLF_05.25.23_18000fps_1X_4th_15</t>
  </si>
  <si>
    <t>SLF_05.25.23_18000fps_1X_4th_16</t>
  </si>
  <si>
    <t>SLF_05.25.23_18000fps_1X_4th_17</t>
  </si>
  <si>
    <t>SLF_05.25.23_18000fps_1X_4th_18</t>
  </si>
  <si>
    <t>SLF_05.25.23_18000fps_1X_4th_19</t>
  </si>
  <si>
    <t>SLF_05.25.23_18000fps_1X_4th_20</t>
  </si>
  <si>
    <t>SLF_05.25.23_18000fps_1X_4th_21</t>
  </si>
  <si>
    <t>SLF_05.25.23_18000fps_1X_4th_22</t>
  </si>
  <si>
    <t>SLF_05.25.23_18000fps_1X_4th_23</t>
  </si>
  <si>
    <t>SLF_05.25.23_18000fps_2X_4th_1</t>
  </si>
  <si>
    <t>SLF_05.25.23_18000fps_2X_4th_2</t>
  </si>
  <si>
    <t>SLF_05.25.23_18000fps_2X_4th_3</t>
  </si>
  <si>
    <t>SLF_4th_2X_081723_f_1</t>
  </si>
  <si>
    <t>SLF_4th_2X_081723_f_2</t>
  </si>
  <si>
    <t>SLF_4th_2X_081723_f_3</t>
  </si>
  <si>
    <t>SLF_4th_2X_081723_f_4</t>
  </si>
  <si>
    <t>SLF_4th_2X_081723_f_5</t>
  </si>
  <si>
    <t>SLF_4th_2X_081723_f_6</t>
  </si>
  <si>
    <t>SLF_4th_2X_081723_f_7</t>
  </si>
  <si>
    <t>SLF_4th_2X_081723_f_8</t>
  </si>
  <si>
    <t>SLF_4th_2X_081723_f_9</t>
  </si>
  <si>
    <t>SLF_4th_2X_081723_f_10</t>
  </si>
  <si>
    <t>Adult SLF (n= 6, N=70)</t>
  </si>
  <si>
    <t>Nymph SLF (n= 3, N=36)</t>
  </si>
  <si>
    <t>Max linear acceleration of stylus [m/s^2]</t>
  </si>
  <si>
    <t>File name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</si>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</sst>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6160D-3C74-467C-B020-3D1BED6924BE}">
  <dimension ref="A1:F124"/>
  <sheetViews>
    <sheetView topLeftCell="A46" workbookViewId="0">
      <selection activeCell="C84" sqref="C84"/>
    </sheetView>
  </sheetViews>
  <sheetFormatPr defaultRowHeight="15" x14ac:dyDescent="0.25"/>
  <cols>
    <col min="1" max="1" width="30.5703125" style="1" bestFit="1" customWidth="1"/>
    <col min="2" max="2" width="39.140625" style="1" bestFit="1" customWidth="1"/>
    <col min="3" max="3" width="47.28515625" style="1" bestFit="1" customWidth="1"/>
    <col min="4" max="4" width="36.140625" style="1" bestFit="1" customWidth="1"/>
    <col min="5" max="5" width="29.140625" style="1" bestFit="1" customWidth="1"/>
    <col min="6" max="6" width="44.28515625" style="1" bestFit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>
        <v>101933.99999997104</v>
      </c>
      <c r="C2" s="1">
        <v>882899999.99949801</v>
      </c>
      <c r="D2" s="1">
        <v>1779.0835495994947</v>
      </c>
      <c r="E2" s="1">
        <v>1.9569919045594442</v>
      </c>
      <c r="F2" s="1">
        <v>15409508.75999124</v>
      </c>
    </row>
    <row r="3" spans="1:6" x14ac:dyDescent="0.25">
      <c r="A3" s="1" t="s">
        <v>7</v>
      </c>
      <c r="B3" s="1">
        <v>87876.000000020067</v>
      </c>
      <c r="C3" s="1">
        <v>671003999.9992522</v>
      </c>
      <c r="D3" s="1">
        <v>1533.7252144003503</v>
      </c>
      <c r="E3" s="1">
        <v>1.6870977358403854</v>
      </c>
      <c r="F3" s="1">
        <v>11711226.657586949</v>
      </c>
    </row>
    <row r="4" spans="1:6" x14ac:dyDescent="0.25">
      <c r="A4" s="1" t="s">
        <v>8</v>
      </c>
      <c r="B4" s="1">
        <v>91206.000000020736</v>
      </c>
      <c r="C4" s="1">
        <v>556307999.99951911</v>
      </c>
      <c r="D4" s="1">
        <v>1591.844666400362</v>
      </c>
      <c r="E4" s="1">
        <v>1.7510291330403984</v>
      </c>
      <c r="F4" s="1">
        <v>9709404.2351916078</v>
      </c>
    </row>
    <row r="5" spans="1:6" x14ac:dyDescent="0.25">
      <c r="A5" s="1" t="s">
        <v>9</v>
      </c>
      <c r="B5" s="1">
        <v>90827.99999997417</v>
      </c>
      <c r="C5" s="1">
        <v>668411999.99918306</v>
      </c>
      <c r="D5" s="1">
        <v>1585.2473231995491</v>
      </c>
      <c r="E5" s="1">
        <v>1.7437720555195042</v>
      </c>
      <c r="F5" s="1">
        <v>11665987.732785743</v>
      </c>
    </row>
    <row r="6" spans="1:6" x14ac:dyDescent="0.25">
      <c r="A6" s="1" t="s">
        <v>10</v>
      </c>
      <c r="B6" s="1">
        <v>85590.0000000195</v>
      </c>
      <c r="C6" s="1">
        <v>590327999.99963129</v>
      </c>
      <c r="D6" s="1">
        <v>1493.8269960003404</v>
      </c>
      <c r="E6" s="1">
        <v>1.6432096956003746</v>
      </c>
      <c r="F6" s="1">
        <v>10303165.123193564</v>
      </c>
    </row>
    <row r="7" spans="1:6" x14ac:dyDescent="0.25">
      <c r="A7" s="1" t="s">
        <v>11</v>
      </c>
      <c r="B7" s="1">
        <v>91746.000000020809</v>
      </c>
      <c r="C7" s="1">
        <v>513539999.99969047</v>
      </c>
      <c r="D7" s="1">
        <v>1601.2694424003635</v>
      </c>
      <c r="E7" s="1">
        <v>1.7613963866403999</v>
      </c>
      <c r="F7" s="1">
        <v>8962961.9759945981</v>
      </c>
    </row>
    <row r="8" spans="1:6" x14ac:dyDescent="0.25">
      <c r="A8" s="1" t="s">
        <v>12</v>
      </c>
      <c r="B8" s="1">
        <v>113669.99999996771</v>
      </c>
      <c r="C8" s="1">
        <v>777599999.99890947</v>
      </c>
      <c r="D8" s="1">
        <v>1983.9153479994366</v>
      </c>
      <c r="E8" s="1">
        <v>2.1823068827993803</v>
      </c>
      <c r="F8" s="1">
        <v>13571677.439980967</v>
      </c>
    </row>
    <row r="9" spans="1:6" x14ac:dyDescent="0.25">
      <c r="A9" s="1" t="s">
        <v>13</v>
      </c>
      <c r="B9" s="1">
        <v>93887.999999973326</v>
      </c>
      <c r="C9" s="1">
        <v>565379999.9991045</v>
      </c>
      <c r="D9" s="1">
        <v>1638.6543871995345</v>
      </c>
      <c r="E9" s="1">
        <v>1.8025198259194881</v>
      </c>
      <c r="F9" s="1">
        <v>9867740.4719843697</v>
      </c>
    </row>
    <row r="10" spans="1:6" x14ac:dyDescent="0.25">
      <c r="A10" s="1" t="s">
        <v>14</v>
      </c>
      <c r="B10" s="1">
        <v>92484.000000021057</v>
      </c>
      <c r="C10" s="1">
        <v>430920000.00060725</v>
      </c>
      <c r="D10" s="1">
        <v>1614.1499696003677</v>
      </c>
      <c r="E10" s="1">
        <v>1.7755649665604045</v>
      </c>
      <c r="F10" s="1">
        <v>7520971.2480105981</v>
      </c>
    </row>
    <row r="11" spans="1:6" x14ac:dyDescent="0.25">
      <c r="A11" s="1" t="s">
        <v>15</v>
      </c>
      <c r="B11" s="1">
        <v>95544.000000021726</v>
      </c>
      <c r="C11" s="1">
        <v>540756000.00084805</v>
      </c>
      <c r="D11" s="1">
        <v>1667.5570336003793</v>
      </c>
      <c r="E11" s="1">
        <v>1.8343127369604173</v>
      </c>
      <c r="F11" s="1">
        <v>9437970.6864148024</v>
      </c>
    </row>
    <row r="12" spans="1:6" x14ac:dyDescent="0.25">
      <c r="A12" s="1" t="s">
        <v>16</v>
      </c>
      <c r="B12" s="1">
        <v>97865.999999972206</v>
      </c>
      <c r="C12" s="1">
        <v>508031999.99933022</v>
      </c>
      <c r="D12" s="1">
        <v>1708.0835703995149</v>
      </c>
      <c r="E12" s="1">
        <v>1.8788919274394666</v>
      </c>
      <c r="F12" s="1">
        <v>8866829.2607883103</v>
      </c>
    </row>
    <row r="13" spans="1:6" x14ac:dyDescent="0.25">
      <c r="A13" s="1" t="s">
        <v>17</v>
      </c>
      <c r="B13" s="1">
        <v>90179.99999997433</v>
      </c>
      <c r="C13" s="1">
        <v>584819999.99966872</v>
      </c>
      <c r="D13" s="1">
        <v>1573.9375919995518</v>
      </c>
      <c r="E13" s="1">
        <v>1.7313313511995072</v>
      </c>
      <c r="F13" s="1">
        <v>10207032.407994218</v>
      </c>
    </row>
    <row r="14" spans="1:6" x14ac:dyDescent="0.25">
      <c r="A14" s="1" t="s">
        <v>18</v>
      </c>
      <c r="B14" s="1">
        <v>96858.000000022032</v>
      </c>
      <c r="C14" s="1">
        <v>555660000.00085926</v>
      </c>
      <c r="D14" s="1">
        <v>1690.4906552003845</v>
      </c>
      <c r="E14" s="1">
        <v>1.859539720720423</v>
      </c>
      <c r="F14" s="1">
        <v>9698094.5040149987</v>
      </c>
    </row>
    <row r="15" spans="1:6" x14ac:dyDescent="0.25">
      <c r="A15" s="1" t="s">
        <v>19</v>
      </c>
      <c r="B15" s="1">
        <v>85643.999999975698</v>
      </c>
      <c r="C15" s="1">
        <v>526175999.99919069</v>
      </c>
      <c r="D15" s="1">
        <v>1494.7694735995758</v>
      </c>
      <c r="E15" s="1">
        <v>1.6442464209595336</v>
      </c>
      <c r="F15" s="1">
        <v>9183501.734385876</v>
      </c>
    </row>
    <row r="16" spans="1:6" x14ac:dyDescent="0.25">
      <c r="A16" s="1" t="s">
        <v>20</v>
      </c>
      <c r="B16" s="1">
        <v>92790.000000021129</v>
      </c>
      <c r="C16" s="1">
        <v>454248000.00174248</v>
      </c>
      <c r="D16" s="1">
        <v>1619.4906760003689</v>
      </c>
      <c r="E16" s="1">
        <v>1.7814397436004059</v>
      </c>
      <c r="F16" s="1">
        <v>7928121.5712304125</v>
      </c>
    </row>
    <row r="17" spans="1:6" x14ac:dyDescent="0.25">
      <c r="A17" s="1" t="s">
        <v>21</v>
      </c>
      <c r="B17" s="1">
        <v>89622.000000020358</v>
      </c>
      <c r="C17" s="1">
        <v>392687999.99935615</v>
      </c>
      <c r="D17" s="1">
        <v>1564.1986568003554</v>
      </c>
      <c r="E17" s="1">
        <v>1.7206185224803909</v>
      </c>
      <c r="F17" s="1">
        <v>6853697.1071887622</v>
      </c>
    </row>
    <row r="18" spans="1:6" x14ac:dyDescent="0.25">
      <c r="A18" s="1" t="s">
        <v>22</v>
      </c>
      <c r="B18" s="1">
        <v>95436.000000021697</v>
      </c>
      <c r="C18" s="1">
        <v>509328000.00023162</v>
      </c>
      <c r="D18" s="1">
        <v>1665.6720784003787</v>
      </c>
      <c r="E18" s="1">
        <v>1.8322392862404167</v>
      </c>
      <c r="F18" s="1">
        <v>8889448.7232040428</v>
      </c>
    </row>
    <row r="19" spans="1:6" x14ac:dyDescent="0.25">
      <c r="A19" s="1" t="s">
        <v>23</v>
      </c>
      <c r="B19" s="1">
        <v>97217.999999972395</v>
      </c>
      <c r="C19" s="1">
        <v>490212000.00075334</v>
      </c>
      <c r="D19" s="1">
        <v>1696.7738391995185</v>
      </c>
      <c r="E19" s="1">
        <v>1.8664512231194705</v>
      </c>
      <c r="F19" s="1">
        <v>8555811.6528131478</v>
      </c>
    </row>
    <row r="20" spans="1:6" x14ac:dyDescent="0.25">
      <c r="A20" s="1" t="s">
        <v>24</v>
      </c>
      <c r="B20" s="1">
        <v>85968.000000019601</v>
      </c>
      <c r="C20" s="1">
        <v>307800000.00014067</v>
      </c>
      <c r="D20" s="1">
        <v>1500.4243392003423</v>
      </c>
      <c r="E20" s="1">
        <v>1.6504667731203768</v>
      </c>
      <c r="F20" s="1">
        <v>5372122.3200024553</v>
      </c>
    </row>
    <row r="21" spans="1:6" x14ac:dyDescent="0.25">
      <c r="A21" s="1" t="s">
        <v>25</v>
      </c>
      <c r="B21" s="1">
        <v>81521.999999976833</v>
      </c>
      <c r="C21" s="1">
        <v>839678399.99944234</v>
      </c>
      <c r="D21" s="1">
        <v>1422.8270167995956</v>
      </c>
      <c r="E21" s="1">
        <v>1.5651097184795553</v>
      </c>
      <c r="F21" s="1">
        <v>14655149.688950269</v>
      </c>
    </row>
    <row r="22" spans="1:6" x14ac:dyDescent="0.25">
      <c r="A22" s="1" t="s">
        <v>26</v>
      </c>
      <c r="B22" s="1">
        <v>90126.000000020576</v>
      </c>
      <c r="C22" s="1">
        <v>573804000.00079989</v>
      </c>
      <c r="D22" s="1">
        <v>1572.9951144003592</v>
      </c>
      <c r="E22" s="1">
        <v>1.7302946258403951</v>
      </c>
      <c r="F22" s="1">
        <v>10014766.977613961</v>
      </c>
    </row>
    <row r="23" spans="1:6" x14ac:dyDescent="0.25">
      <c r="A23" s="1" t="s">
        <v>27</v>
      </c>
      <c r="B23" s="1">
        <v>126043.20000000286</v>
      </c>
      <c r="C23" s="1">
        <v>481826880.00002187</v>
      </c>
      <c r="D23" s="1">
        <v>2199.8683820800502</v>
      </c>
      <c r="E23" s="1">
        <v>2.4198552202880554</v>
      </c>
      <c r="F23" s="1">
        <v>8409463.731072383</v>
      </c>
    </row>
    <row r="24" spans="1:6" x14ac:dyDescent="0.25">
      <c r="A24" s="1" t="s">
        <v>28</v>
      </c>
      <c r="B24" s="1">
        <v>106988.39999999695</v>
      </c>
      <c r="C24" s="1">
        <v>388618559.99997824</v>
      </c>
      <c r="D24" s="1">
        <v>1867.2994529599468</v>
      </c>
      <c r="E24" s="1">
        <v>2.0540293982559414</v>
      </c>
      <c r="F24" s="1">
        <v>6782671.9952636203</v>
      </c>
    </row>
    <row r="25" spans="1:6" x14ac:dyDescent="0.25">
      <c r="A25" s="1" t="s">
        <v>29</v>
      </c>
      <c r="B25" s="1">
        <v>106235.99999999697</v>
      </c>
      <c r="C25" s="1">
        <v>396161279.99997884</v>
      </c>
      <c r="D25" s="1">
        <v>1854.1675983999473</v>
      </c>
      <c r="E25" s="1">
        <v>2.0395843582399422</v>
      </c>
      <c r="F25" s="1">
        <v>6914317.2664316306</v>
      </c>
    </row>
    <row r="26" spans="1:6" x14ac:dyDescent="0.25">
      <c r="A26" s="1" t="s">
        <v>30</v>
      </c>
      <c r="B26" s="1">
        <v>99460.800000002258</v>
      </c>
      <c r="C26" s="1">
        <v>625148160.00003076</v>
      </c>
      <c r="D26" s="1">
        <v>1735.9180755200396</v>
      </c>
      <c r="E26" s="1">
        <v>1.9095098830720438</v>
      </c>
      <c r="F26" s="1">
        <v>10910891.43483787</v>
      </c>
    </row>
    <row r="27" spans="1:6" x14ac:dyDescent="0.25">
      <c r="A27" s="1" t="s">
        <v>31</v>
      </c>
      <c r="B27" s="1">
        <v>96192.000000021886</v>
      </c>
      <c r="C27" s="1">
        <v>1017491624.9994211</v>
      </c>
      <c r="D27" s="1">
        <v>1678.866764800382</v>
      </c>
      <c r="E27" s="1">
        <v>1.8467534412804205</v>
      </c>
      <c r="F27" s="1">
        <v>17758575.273139898</v>
      </c>
    </row>
    <row r="28" spans="1:6" x14ac:dyDescent="0.25">
      <c r="A28" s="1" t="s">
        <v>32</v>
      </c>
      <c r="B28" s="1">
        <v>89729.999999974476</v>
      </c>
      <c r="C28" s="1">
        <v>403379999.9991498</v>
      </c>
      <c r="D28" s="1">
        <v>1566.0836119995547</v>
      </c>
      <c r="E28" s="1">
        <v>1.7226919731995103</v>
      </c>
      <c r="F28" s="1">
        <v>7040307.6719851615</v>
      </c>
    </row>
    <row r="29" spans="1:6" x14ac:dyDescent="0.25">
      <c r="A29" s="1" t="s">
        <v>33</v>
      </c>
      <c r="B29" s="1">
        <v>86310.00000001966</v>
      </c>
      <c r="C29" s="1">
        <v>570175200.00046158</v>
      </c>
      <c r="D29" s="1">
        <v>1506.3933640003431</v>
      </c>
      <c r="E29" s="1">
        <v>1.6570327004003775</v>
      </c>
      <c r="F29" s="1">
        <v>9951432.482888056</v>
      </c>
    </row>
    <row r="30" spans="1:6" x14ac:dyDescent="0.25">
      <c r="A30" s="1" t="s">
        <v>34</v>
      </c>
      <c r="B30" s="1">
        <v>93798.000000069413</v>
      </c>
      <c r="C30" s="1">
        <v>576072000.00199127</v>
      </c>
      <c r="D30" s="1">
        <v>1637.0835912012117</v>
      </c>
      <c r="E30" s="1">
        <v>1.800791950321333</v>
      </c>
      <c r="F30" s="1">
        <v>10054351.036834756</v>
      </c>
    </row>
    <row r="31" spans="1:6" x14ac:dyDescent="0.25">
      <c r="A31" s="1" t="s">
        <v>35</v>
      </c>
      <c r="B31" s="1">
        <v>109044.00000008057</v>
      </c>
      <c r="C31" s="1">
        <v>838836000.00238919</v>
      </c>
      <c r="D31" s="1">
        <v>1903.1764336014062</v>
      </c>
      <c r="E31" s="1">
        <v>2.0934940769615467</v>
      </c>
      <c r="F31" s="1">
        <v>14640447.038441701</v>
      </c>
    </row>
    <row r="32" spans="1:6" x14ac:dyDescent="0.25">
      <c r="A32" s="1" t="s">
        <v>36</v>
      </c>
      <c r="B32" s="1">
        <v>79758.000000018088</v>
      </c>
      <c r="C32" s="1">
        <v>400788000.00049907</v>
      </c>
      <c r="D32" s="1">
        <v>1392.0394152003157</v>
      </c>
      <c r="E32" s="1">
        <v>1.5312433567203474</v>
      </c>
      <c r="F32" s="1">
        <v>6995068.7472087108</v>
      </c>
    </row>
    <row r="33" spans="1:6" x14ac:dyDescent="0.25">
      <c r="A33" s="1" t="s">
        <v>37</v>
      </c>
      <c r="B33" s="1">
        <v>92213.999999973879</v>
      </c>
      <c r="C33" s="1">
        <v>696275999.99921119</v>
      </c>
      <c r="D33" s="1">
        <v>1609.4375815995443</v>
      </c>
      <c r="E33" s="1">
        <v>1.7703813397594987</v>
      </c>
      <c r="F33" s="1">
        <v>12152306.174386233</v>
      </c>
    </row>
    <row r="34" spans="1:6" x14ac:dyDescent="0.25">
      <c r="A34" s="1" t="s">
        <v>38</v>
      </c>
      <c r="B34" s="1">
        <v>107405.99999996946</v>
      </c>
      <c r="C34" s="1">
        <v>957419999.99845684</v>
      </c>
      <c r="D34" s="1">
        <v>1874.5879463994668</v>
      </c>
      <c r="E34" s="1">
        <v>2.0620467410394134</v>
      </c>
      <c r="F34" s="1">
        <v>16710127.847973069</v>
      </c>
    </row>
    <row r="35" spans="1:6" x14ac:dyDescent="0.25">
      <c r="A35" s="1" t="s">
        <v>39</v>
      </c>
      <c r="B35" s="1">
        <v>75816.000000017171</v>
      </c>
      <c r="C35" s="1">
        <v>496929277.17388487</v>
      </c>
      <c r="D35" s="1">
        <v>1323.2385504002998</v>
      </c>
      <c r="E35" s="1">
        <v>1.45556240544033</v>
      </c>
      <c r="F35" s="1">
        <v>8673050.2318625525</v>
      </c>
    </row>
    <row r="36" spans="1:6" x14ac:dyDescent="0.25">
      <c r="A36" s="1" t="s">
        <v>40</v>
      </c>
      <c r="B36" s="1">
        <v>95003.999999973108</v>
      </c>
      <c r="C36" s="1">
        <v>505115999.99910021</v>
      </c>
      <c r="D36" s="1">
        <v>1658.1322575995307</v>
      </c>
      <c r="E36" s="1">
        <v>1.8239454833594839</v>
      </c>
      <c r="F36" s="1">
        <v>8815935.470384296</v>
      </c>
    </row>
    <row r="37" spans="1:6" x14ac:dyDescent="0.25">
      <c r="A37" s="1" t="s">
        <v>41</v>
      </c>
      <c r="B37" s="1">
        <v>88344.000000020111</v>
      </c>
      <c r="C37" s="1">
        <v>889056000.00076294</v>
      </c>
      <c r="D37" s="1">
        <v>1541.8933536003512</v>
      </c>
      <c r="E37" s="1">
        <v>1.6960826889603866</v>
      </c>
      <c r="F37" s="1">
        <v>15516951.206413317</v>
      </c>
    </row>
    <row r="38" spans="1:6" x14ac:dyDescent="0.25">
      <c r="A38" s="1" t="s">
        <v>42</v>
      </c>
      <c r="B38" s="1">
        <v>88632.000000020271</v>
      </c>
      <c r="C38" s="1">
        <v>769888800.00060618</v>
      </c>
      <c r="D38" s="1">
        <v>1546.9199008003541</v>
      </c>
      <c r="E38" s="1">
        <v>1.7016118908803897</v>
      </c>
      <c r="F38" s="1">
        <v>13437091.638730582</v>
      </c>
    </row>
    <row r="40" spans="1:6" x14ac:dyDescent="0.25">
      <c r="A40" s="1" t="s">
        <v>43</v>
      </c>
      <c r="B40" s="1">
        <v>94296.551351355796</v>
      </c>
      <c r="C40" s="1">
        <v>593318329.2479378</v>
      </c>
      <c r="D40" s="1">
        <v>1645.7849519611589</v>
      </c>
      <c r="E40" s="1">
        <v>1.810363447157274</v>
      </c>
      <c r="F40" s="1">
        <v>10355356.203437155</v>
      </c>
    </row>
    <row r="41" spans="1:6" x14ac:dyDescent="0.25">
      <c r="A41" s="1" t="s">
        <v>119</v>
      </c>
      <c r="B41" s="1">
        <f>_xlfn.STDEV.P(B2:B38)</f>
        <v>9614.229366301086</v>
      </c>
      <c r="C41" s="1">
        <f>_xlfn.STDEV.P(C2:C38)</f>
        <v>171446248.7875419</v>
      </c>
      <c r="D41" s="1">
        <f t="shared" ref="D41:F41" si="0">_xlfn.STDEV.P(D2:D38)</f>
        <v>167.79992257408986</v>
      </c>
      <c r="E41" s="1">
        <f t="shared" si="0"/>
        <v>0.18457991483150893</v>
      </c>
      <c r="F41" s="1">
        <f t="shared" si="0"/>
        <v>2992300.9090052778</v>
      </c>
    </row>
    <row r="45" spans="1:6" x14ac:dyDescent="0.25">
      <c r="A45" s="1" t="s">
        <v>44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</row>
    <row r="46" spans="1:6" x14ac:dyDescent="0.25">
      <c r="A46" s="1" t="s">
        <v>45</v>
      </c>
      <c r="B46" s="1">
        <v>44442.000000010063</v>
      </c>
      <c r="C46" s="1">
        <v>163296000.00039166</v>
      </c>
      <c r="D46" s="1">
        <v>775.65906480017566</v>
      </c>
      <c r="E46" s="1">
        <v>0.85322497128019326</v>
      </c>
      <c r="F46" s="1">
        <v>2850052.2624068358</v>
      </c>
    </row>
    <row r="47" spans="1:6" x14ac:dyDescent="0.25">
      <c r="A47" s="1" t="s">
        <v>46</v>
      </c>
      <c r="B47" s="1">
        <v>57186.000000012995</v>
      </c>
      <c r="C47" s="1">
        <v>246888000.00011244</v>
      </c>
      <c r="D47" s="1">
        <v>998.08377840022683</v>
      </c>
      <c r="E47" s="1">
        <v>1.0978921562402495</v>
      </c>
      <c r="F47" s="1">
        <v>4309007.5872019632</v>
      </c>
    </row>
    <row r="48" spans="1:6" x14ac:dyDescent="0.25">
      <c r="A48" s="1" t="s">
        <v>47</v>
      </c>
      <c r="B48" s="1">
        <v>61738.200000001409</v>
      </c>
      <c r="C48" s="1">
        <v>139320000.00035891</v>
      </c>
      <c r="D48" s="1">
        <v>1077.5346400800247</v>
      </c>
      <c r="E48" s="1">
        <v>1.1852881040880272</v>
      </c>
      <c r="F48" s="1">
        <v>2431592.2080062646</v>
      </c>
    </row>
    <row r="49" spans="1:6" x14ac:dyDescent="0.25">
      <c r="A49" s="1" t="s">
        <v>48</v>
      </c>
      <c r="B49" s="1">
        <v>65267.99999998141</v>
      </c>
      <c r="C49" s="1">
        <v>393335999.99957746</v>
      </c>
      <c r="D49" s="1">
        <v>1139.1412591996757</v>
      </c>
      <c r="E49" s="1">
        <v>1.2530553851196435</v>
      </c>
      <c r="F49" s="1">
        <v>6865006.8383926256</v>
      </c>
    </row>
    <row r="50" spans="1:6" x14ac:dyDescent="0.25">
      <c r="A50" s="1" t="s">
        <v>49</v>
      </c>
      <c r="B50" s="1">
        <v>51857.999999985266</v>
      </c>
      <c r="C50" s="1">
        <v>232308000.00024974</v>
      </c>
      <c r="D50" s="1">
        <v>905.09265519974292</v>
      </c>
      <c r="E50" s="1">
        <v>0.99560192071971731</v>
      </c>
      <c r="F50" s="1">
        <v>4054538.635204359</v>
      </c>
    </row>
    <row r="51" spans="1:6" x14ac:dyDescent="0.25">
      <c r="A51" s="1" t="s">
        <v>50</v>
      </c>
      <c r="B51" s="1">
        <v>57898.800000001305</v>
      </c>
      <c r="C51" s="1">
        <v>444722400.00006658</v>
      </c>
      <c r="D51" s="1">
        <v>1010.5244827200229</v>
      </c>
      <c r="E51" s="1">
        <v>1.1115769309920251</v>
      </c>
      <c r="F51" s="1">
        <v>7761868.5225611618</v>
      </c>
    </row>
    <row r="52" spans="1:6" x14ac:dyDescent="0.25">
      <c r="A52" s="1" t="s">
        <v>51</v>
      </c>
      <c r="B52" s="1">
        <v>74743.199999997887</v>
      </c>
      <c r="C52" s="1">
        <v>214812000.00027442</v>
      </c>
      <c r="D52" s="1">
        <v>1304.5146620799633</v>
      </c>
      <c r="E52" s="1">
        <v>1.4349661282879598</v>
      </c>
      <c r="F52" s="1">
        <v>3749175.8928047894</v>
      </c>
    </row>
    <row r="53" spans="1:6" x14ac:dyDescent="0.25">
      <c r="A53" s="1" t="s">
        <v>52</v>
      </c>
      <c r="B53" s="1">
        <v>70200.000000015934</v>
      </c>
      <c r="C53" s="1">
        <v>254000609.99998537</v>
      </c>
      <c r="D53" s="1">
        <v>1225.2208800002782</v>
      </c>
      <c r="E53" s="1">
        <v>1.3477429680003061</v>
      </c>
      <c r="F53" s="1">
        <v>4433146.0242837453</v>
      </c>
    </row>
    <row r="54" spans="1:6" x14ac:dyDescent="0.25">
      <c r="A54" s="1" t="s">
        <v>53</v>
      </c>
      <c r="B54" s="1">
        <v>74412.000000016938</v>
      </c>
      <c r="C54" s="1">
        <v>323416799.99994701</v>
      </c>
      <c r="D54" s="1">
        <v>1298.7341328002958</v>
      </c>
      <c r="E54" s="1">
        <v>1.4286075460803256</v>
      </c>
      <c r="F54" s="1">
        <v>5644686.8419190757</v>
      </c>
    </row>
    <row r="55" spans="1:6" x14ac:dyDescent="0.25">
      <c r="A55" s="1" t="s">
        <v>54</v>
      </c>
      <c r="B55" s="1">
        <v>79091.999999997846</v>
      </c>
      <c r="C55" s="1">
        <v>367739999.99998081</v>
      </c>
      <c r="D55" s="1">
        <v>1380.4155247999624</v>
      </c>
      <c r="E55" s="1">
        <v>1.5184570772799588</v>
      </c>
      <c r="F55" s="1">
        <v>6418272.4559996659</v>
      </c>
    </row>
    <row r="56" spans="1:6" x14ac:dyDescent="0.25">
      <c r="A56" s="1" t="s">
        <v>55</v>
      </c>
      <c r="B56" s="1">
        <v>78839.999999997803</v>
      </c>
      <c r="C56" s="1">
        <v>214667999.99997798</v>
      </c>
      <c r="D56" s="1">
        <v>1376.0172959999618</v>
      </c>
      <c r="E56" s="1">
        <v>1.5136190255999582</v>
      </c>
      <c r="F56" s="1">
        <v>3746662.6191996159</v>
      </c>
    </row>
    <row r="57" spans="1:6" x14ac:dyDescent="0.25">
      <c r="A57" s="1" t="s">
        <v>56</v>
      </c>
      <c r="B57" s="1">
        <v>74682.000000016997</v>
      </c>
      <c r="C57" s="1">
        <v>122472000.00061819</v>
      </c>
      <c r="D57" s="1">
        <v>1303.4465208002969</v>
      </c>
      <c r="E57" s="1">
        <v>1.4337911728803268</v>
      </c>
      <c r="F57" s="1">
        <v>2137539.1968107894</v>
      </c>
    </row>
    <row r="58" spans="1:6" x14ac:dyDescent="0.25">
      <c r="A58" s="1" t="s">
        <v>57</v>
      </c>
      <c r="B58" s="1">
        <v>74808.000000016982</v>
      </c>
      <c r="C58" s="1">
        <v>278964000.00052917</v>
      </c>
      <c r="D58" s="1">
        <v>1305.6456352002965</v>
      </c>
      <c r="E58" s="1">
        <v>1.4362101987203264</v>
      </c>
      <c r="F58" s="1">
        <v>4868839.2816092363</v>
      </c>
    </row>
    <row r="59" spans="1:6" x14ac:dyDescent="0.25">
      <c r="A59" s="1" t="s">
        <v>58</v>
      </c>
      <c r="B59" s="1">
        <v>70686.000000016065</v>
      </c>
      <c r="C59" s="1">
        <v>223560000.00052321</v>
      </c>
      <c r="D59" s="1">
        <v>1233.7031784002804</v>
      </c>
      <c r="E59" s="1">
        <v>1.3570734962403086</v>
      </c>
      <c r="F59" s="1">
        <v>3901857.264009132</v>
      </c>
    </row>
    <row r="60" spans="1:6" x14ac:dyDescent="0.25">
      <c r="A60" s="1" t="s">
        <v>59</v>
      </c>
      <c r="B60" s="1">
        <v>70937.999999979816</v>
      </c>
      <c r="C60" s="1">
        <v>362555999.99951154</v>
      </c>
      <c r="D60" s="1">
        <v>1238.1014071996478</v>
      </c>
      <c r="E60" s="1">
        <v>1.3619115479196127</v>
      </c>
      <c r="F60" s="1">
        <v>6327794.6063914746</v>
      </c>
    </row>
    <row r="61" spans="1:6" x14ac:dyDescent="0.25">
      <c r="A61" s="1" t="s">
        <v>60</v>
      </c>
      <c r="B61" s="1">
        <v>69965.999999980122</v>
      </c>
      <c r="C61" s="1">
        <v>381996000.00017303</v>
      </c>
      <c r="D61" s="1">
        <v>1221.1368103996533</v>
      </c>
      <c r="E61" s="1">
        <v>1.3432504914396188</v>
      </c>
      <c r="F61" s="1">
        <v>6667086.54240302</v>
      </c>
    </row>
    <row r="62" spans="1:6" x14ac:dyDescent="0.25">
      <c r="A62" s="1" t="s">
        <v>61</v>
      </c>
      <c r="B62" s="1">
        <v>85644.000000019514</v>
      </c>
      <c r="C62" s="1">
        <v>364499999.99944586</v>
      </c>
      <c r="D62" s="1">
        <v>1494.7694736003407</v>
      </c>
      <c r="E62" s="1">
        <v>1.6442464209603749</v>
      </c>
      <c r="F62" s="1">
        <v>6361723.799990328</v>
      </c>
    </row>
    <row r="63" spans="1:6" x14ac:dyDescent="0.25">
      <c r="A63" s="1" t="s">
        <v>62</v>
      </c>
      <c r="B63" s="1">
        <v>38718.000000008862</v>
      </c>
      <c r="C63" s="1">
        <v>272484000.00012541</v>
      </c>
      <c r="D63" s="1">
        <v>675.75643920015466</v>
      </c>
      <c r="E63" s="1">
        <v>0.74333208312017018</v>
      </c>
      <c r="F63" s="1">
        <v>4755741.969602189</v>
      </c>
    </row>
    <row r="64" spans="1:6" x14ac:dyDescent="0.25">
      <c r="A64" s="1" t="s">
        <v>63</v>
      </c>
      <c r="B64" s="1">
        <v>64080.000000014479</v>
      </c>
      <c r="C64" s="1">
        <v>618840000.00019169</v>
      </c>
      <c r="D64" s="1">
        <v>1118.4067520002527</v>
      </c>
      <c r="E64" s="1">
        <v>1.2302474272002781</v>
      </c>
      <c r="F64" s="1">
        <v>10800793.296003345</v>
      </c>
    </row>
    <row r="65" spans="1:6" x14ac:dyDescent="0.25">
      <c r="A65" s="1" t="s">
        <v>64</v>
      </c>
      <c r="B65" s="1">
        <v>74898.000000017055</v>
      </c>
      <c r="C65" s="1">
        <v>412128000.00066811</v>
      </c>
      <c r="D65" s="1">
        <v>1307.2164312002976</v>
      </c>
      <c r="E65" s="1">
        <v>1.4379380743203276</v>
      </c>
      <c r="F65" s="1">
        <v>7192989.0432116613</v>
      </c>
    </row>
    <row r="66" spans="1:6" x14ac:dyDescent="0.25">
      <c r="A66" s="1" t="s">
        <v>65</v>
      </c>
      <c r="B66" s="1">
        <v>77939.999999977808</v>
      </c>
      <c r="C66" s="1">
        <v>364175999.99947745</v>
      </c>
      <c r="D66" s="1">
        <v>1360.3093359996128</v>
      </c>
      <c r="E66" s="1">
        <v>1.4963402695995742</v>
      </c>
      <c r="F66" s="1">
        <v>6356068.9343908802</v>
      </c>
    </row>
    <row r="67" spans="1:6" x14ac:dyDescent="0.25">
      <c r="A67" s="1" t="s">
        <v>66</v>
      </c>
      <c r="B67" s="1">
        <v>92033.999999997381</v>
      </c>
      <c r="C67" s="1">
        <v>867024000.00004387</v>
      </c>
      <c r="D67" s="1">
        <v>1606.2959895999543</v>
      </c>
      <c r="E67" s="1">
        <v>1.7669255885599497</v>
      </c>
      <c r="F67" s="1">
        <v>15132420.345600767</v>
      </c>
    </row>
    <row r="68" spans="1:6" x14ac:dyDescent="0.25">
      <c r="A68" s="1" t="s">
        <v>67</v>
      </c>
      <c r="B68" s="1">
        <v>78803.999999997759</v>
      </c>
      <c r="C68" s="1">
        <v>679104000.00002909</v>
      </c>
      <c r="D68" s="1">
        <v>1375.388977599961</v>
      </c>
      <c r="E68" s="1">
        <v>1.5129278753599571</v>
      </c>
      <c r="F68" s="1">
        <v>11852598.297600508</v>
      </c>
    </row>
    <row r="69" spans="1:6" x14ac:dyDescent="0.25">
      <c r="A69" s="1" t="s">
        <v>68</v>
      </c>
      <c r="B69" s="1">
        <v>74375.999999997875</v>
      </c>
      <c r="C69" s="1">
        <v>468179999.99997282</v>
      </c>
      <c r="D69" s="1">
        <v>1298.105814399963</v>
      </c>
      <c r="E69" s="1">
        <v>1.4279163958399594</v>
      </c>
      <c r="F69" s="1">
        <v>8171280.7919995254</v>
      </c>
    </row>
    <row r="70" spans="1:6" x14ac:dyDescent="0.25">
      <c r="A70" s="1" t="s">
        <v>69</v>
      </c>
      <c r="B70" s="1">
        <v>82331.999999997686</v>
      </c>
      <c r="C70" s="1">
        <v>348947999.99969077</v>
      </c>
      <c r="D70" s="1">
        <v>1436.9641807999599</v>
      </c>
      <c r="E70" s="1">
        <v>1.580660598879956</v>
      </c>
      <c r="F70" s="1">
        <v>6090290.2511946028</v>
      </c>
    </row>
    <row r="71" spans="1:6" x14ac:dyDescent="0.25">
      <c r="A71" s="1" t="s">
        <v>70</v>
      </c>
      <c r="B71" s="1">
        <v>68076.000000006767</v>
      </c>
      <c r="C71" s="1">
        <v>311040000.00017893</v>
      </c>
      <c r="D71" s="1">
        <v>1188.1500944001182</v>
      </c>
      <c r="E71" s="1">
        <v>1.30696510384013</v>
      </c>
      <c r="F71" s="1">
        <v>5428670.9760031234</v>
      </c>
    </row>
    <row r="72" spans="1:6" x14ac:dyDescent="0.25">
      <c r="A72" s="1" t="s">
        <v>71</v>
      </c>
      <c r="B72" s="1">
        <v>87310.799999999756</v>
      </c>
      <c r="C72" s="1">
        <v>553197600.00020361</v>
      </c>
      <c r="D72" s="1">
        <v>1523.8606155199959</v>
      </c>
      <c r="E72" s="1">
        <v>1.6762466770719957</v>
      </c>
      <c r="F72" s="1">
        <v>9655117.5254435539</v>
      </c>
    </row>
    <row r="73" spans="1:6" x14ac:dyDescent="0.25">
      <c r="A73" s="1" t="s">
        <v>72</v>
      </c>
      <c r="B73" s="1">
        <v>77021.999999997803</v>
      </c>
      <c r="C73" s="1">
        <v>359963999.99989444</v>
      </c>
      <c r="D73" s="1">
        <v>1344.2872167999617</v>
      </c>
      <c r="E73" s="1">
        <v>1.478715938479958</v>
      </c>
      <c r="F73" s="1">
        <v>6282555.6815981576</v>
      </c>
    </row>
    <row r="74" spans="1:6" x14ac:dyDescent="0.25">
      <c r="A74" s="1" t="s">
        <v>73</v>
      </c>
      <c r="B74" s="1">
        <v>75167.999999997905</v>
      </c>
      <c r="C74" s="1">
        <v>361259999.99998015</v>
      </c>
      <c r="D74" s="1">
        <v>1311.9288191999635</v>
      </c>
      <c r="E74" s="1">
        <v>1.4431217011199602</v>
      </c>
      <c r="F74" s="1">
        <v>6305175.1439996529</v>
      </c>
    </row>
    <row r="75" spans="1:6" x14ac:dyDescent="0.25">
      <c r="A75" s="1" t="s">
        <v>74</v>
      </c>
      <c r="B75" s="1">
        <v>77831.999999987864</v>
      </c>
      <c r="C75" s="1">
        <v>279741599.9997409</v>
      </c>
      <c r="D75" s="1">
        <v>1358.4243807997882</v>
      </c>
      <c r="E75" s="1">
        <v>1.4942668188797672</v>
      </c>
      <c r="F75" s="1">
        <v>4882410.9590354776</v>
      </c>
    </row>
    <row r="76" spans="1:6" x14ac:dyDescent="0.25">
      <c r="A76" s="1" t="s">
        <v>75</v>
      </c>
      <c r="B76" s="1">
        <v>54017.999999998421</v>
      </c>
      <c r="C76" s="1">
        <v>646622999.99996257</v>
      </c>
      <c r="D76" s="1">
        <v>942.79175919997249</v>
      </c>
      <c r="E76" s="1">
        <v>1.0370709351199698</v>
      </c>
      <c r="F76" s="1">
        <v>11285698.021199347</v>
      </c>
    </row>
    <row r="77" spans="1:6" x14ac:dyDescent="0.25">
      <c r="A77" s="1" t="s">
        <v>76</v>
      </c>
      <c r="B77" s="1">
        <v>45071.999999998683</v>
      </c>
      <c r="C77" s="1">
        <v>132029999.99999215</v>
      </c>
      <c r="D77" s="1">
        <v>786.65463679997708</v>
      </c>
      <c r="E77" s="1">
        <v>0.86532010047997487</v>
      </c>
      <c r="F77" s="1">
        <v>2304357.7319998634</v>
      </c>
    </row>
    <row r="78" spans="1:6" x14ac:dyDescent="0.25">
      <c r="A78" s="1" t="s">
        <v>77</v>
      </c>
      <c r="B78" s="1">
        <v>77291.999999977968</v>
      </c>
      <c r="C78" s="1">
        <v>241217999.99992406</v>
      </c>
      <c r="D78" s="1">
        <v>1348.9996047996156</v>
      </c>
      <c r="E78" s="1">
        <v>1.4838995652795772</v>
      </c>
      <c r="F78" s="1">
        <v>4210047.4391986746</v>
      </c>
    </row>
    <row r="80" spans="1:6" x14ac:dyDescent="0.25">
      <c r="A80" s="1" t="s">
        <v>43</v>
      </c>
      <c r="B80" s="1">
        <v>69920.454545455243</v>
      </c>
      <c r="C80" s="1">
        <v>352864060.90914547</v>
      </c>
      <c r="D80" s="1">
        <v>1220.3418924242542</v>
      </c>
      <c r="E80" s="1">
        <v>1.3423760816666799</v>
      </c>
      <c r="F80" s="1">
        <v>6174699.3795423852</v>
      </c>
    </row>
    <row r="81" spans="1:6" x14ac:dyDescent="0.25">
      <c r="A81" s="1" t="s">
        <v>119</v>
      </c>
      <c r="B81" s="1">
        <f>_xlfn.STDEV.P(B46:B78)</f>
        <v>12410.850546806949</v>
      </c>
      <c r="C81" s="1">
        <f t="shared" ref="C81:F81" si="1">_xlfn.STDEV.P(C46:C78)</f>
        <v>165379611.1686424</v>
      </c>
      <c r="D81" s="1">
        <f t="shared" si="1"/>
        <v>216.61015995024951</v>
      </c>
      <c r="E81" s="1">
        <f t="shared" si="1"/>
        <v>0.23827117594527264</v>
      </c>
      <c r="F81" s="1">
        <f t="shared" si="1"/>
        <v>2886418.1300584353</v>
      </c>
    </row>
    <row r="85" spans="1:6" x14ac:dyDescent="0.25">
      <c r="A85" s="1" t="s">
        <v>78</v>
      </c>
      <c r="B85" s="1" t="s">
        <v>1</v>
      </c>
      <c r="C85" s="1" t="s">
        <v>2</v>
      </c>
      <c r="D85" s="1" t="s">
        <v>3</v>
      </c>
      <c r="E85" s="1" t="s">
        <v>4</v>
      </c>
      <c r="F85" s="1" t="s">
        <v>5</v>
      </c>
    </row>
    <row r="86" spans="1:6" x14ac:dyDescent="0.25">
      <c r="A86" s="1" t="s">
        <v>79</v>
      </c>
      <c r="B86" s="1">
        <v>95454</v>
      </c>
      <c r="C86" s="1">
        <v>1545479999.9999907</v>
      </c>
      <c r="D86" s="1">
        <v>1665.9862376000001</v>
      </c>
      <c r="E86" s="1">
        <v>1.1661903663200002</v>
      </c>
      <c r="F86" s="1">
        <v>26973708.91199984</v>
      </c>
    </row>
    <row r="87" spans="1:6" x14ac:dyDescent="0.25">
      <c r="A87" s="1" t="s">
        <v>80</v>
      </c>
      <c r="B87" s="1">
        <v>105858</v>
      </c>
      <c r="C87" s="1">
        <v>1905444000</v>
      </c>
      <c r="D87" s="1">
        <v>1847.5702552000002</v>
      </c>
      <c r="E87" s="1">
        <v>1.2932991786400001</v>
      </c>
      <c r="F87" s="1">
        <v>33256264.593600001</v>
      </c>
    </row>
    <row r="88" spans="1:6" x14ac:dyDescent="0.25">
      <c r="A88" s="1" t="s">
        <v>81</v>
      </c>
      <c r="B88" s="1">
        <v>120366</v>
      </c>
      <c r="C88" s="1">
        <v>795420000</v>
      </c>
      <c r="D88" s="1">
        <v>2100.7825704000002</v>
      </c>
      <c r="E88" s="1">
        <v>1.47054779928</v>
      </c>
      <c r="F88" s="1">
        <v>13882695.048000002</v>
      </c>
    </row>
    <row r="89" spans="1:6" x14ac:dyDescent="0.25">
      <c r="A89" s="1" t="s">
        <v>82</v>
      </c>
      <c r="B89" s="1">
        <v>127476</v>
      </c>
      <c r="C89" s="1">
        <v>1088316000</v>
      </c>
      <c r="D89" s="1">
        <v>2224.8754544000003</v>
      </c>
      <c r="E89" s="1">
        <v>1.55741281808</v>
      </c>
      <c r="F89" s="1">
        <v>18994693.5504</v>
      </c>
    </row>
    <row r="90" spans="1:6" x14ac:dyDescent="0.25">
      <c r="A90" s="1" t="s">
        <v>83</v>
      </c>
      <c r="B90" s="1">
        <v>115704</v>
      </c>
      <c r="C90" s="1">
        <v>908172000</v>
      </c>
      <c r="D90" s="1">
        <v>2019.4153376000002</v>
      </c>
      <c r="E90" s="1">
        <v>1.4135907363200002</v>
      </c>
      <c r="F90" s="1">
        <v>15850588.276800003</v>
      </c>
    </row>
    <row r="91" spans="1:6" x14ac:dyDescent="0.25">
      <c r="A91" s="1" t="s">
        <v>84</v>
      </c>
      <c r="B91" s="1">
        <v>117882</v>
      </c>
      <c r="C91" s="1">
        <v>938952000</v>
      </c>
      <c r="D91" s="1">
        <v>2057.4286008000004</v>
      </c>
      <c r="E91" s="1">
        <v>1.4402000205600003</v>
      </c>
      <c r="F91" s="1">
        <v>16387800.5088</v>
      </c>
    </row>
    <row r="92" spans="1:6" x14ac:dyDescent="0.25">
      <c r="A92" s="1" t="s">
        <v>85</v>
      </c>
      <c r="B92" s="1">
        <v>105444</v>
      </c>
      <c r="C92" s="1">
        <v>562788000</v>
      </c>
      <c r="D92" s="1">
        <v>1840.3445936000001</v>
      </c>
      <c r="E92" s="1">
        <v>1.28824121552</v>
      </c>
      <c r="F92" s="1">
        <v>9822501.5471999999</v>
      </c>
    </row>
    <row r="93" spans="1:6" x14ac:dyDescent="0.25">
      <c r="A93" s="1" t="s">
        <v>86</v>
      </c>
      <c r="B93" s="1">
        <v>96174</v>
      </c>
      <c r="C93" s="1">
        <v>485676000</v>
      </c>
      <c r="D93" s="1">
        <v>1678.5526056000003</v>
      </c>
      <c r="E93" s="1">
        <v>1.1749868239200003</v>
      </c>
      <c r="F93" s="1">
        <v>8476643.5344000012</v>
      </c>
    </row>
    <row r="94" spans="1:6" x14ac:dyDescent="0.25">
      <c r="A94" s="1" t="s">
        <v>87</v>
      </c>
      <c r="B94" s="1">
        <v>126450.00000000042</v>
      </c>
      <c r="C94" s="1">
        <v>1373824800.0000124</v>
      </c>
      <c r="D94" s="1">
        <v>2206.9683800000075</v>
      </c>
      <c r="E94" s="1">
        <v>1.5448778660000053</v>
      </c>
      <c r="F94" s="1">
        <v>23977761.117120218</v>
      </c>
    </row>
    <row r="95" spans="1:6" x14ac:dyDescent="0.25">
      <c r="A95" s="1" t="s">
        <v>88</v>
      </c>
      <c r="B95" s="1">
        <v>131147.99999999627</v>
      </c>
      <c r="C95" s="1">
        <v>1402919999.9999197</v>
      </c>
      <c r="D95" s="1">
        <v>2288.9639311999349</v>
      </c>
      <c r="E95" s="1">
        <v>1.6022747518399545</v>
      </c>
      <c r="F95" s="1">
        <v>24485568.0479986</v>
      </c>
    </row>
    <row r="96" spans="1:6" x14ac:dyDescent="0.25">
      <c r="A96" s="1" t="s">
        <v>89</v>
      </c>
      <c r="B96" s="1">
        <v>114749.99999999675</v>
      </c>
      <c r="C96" s="1">
        <v>1000187999.9999435</v>
      </c>
      <c r="D96" s="1">
        <v>2002.7648999999435</v>
      </c>
      <c r="E96" s="1">
        <v>1.4019354299999605</v>
      </c>
      <c r="F96" s="1">
        <v>17456570.107199013</v>
      </c>
    </row>
    <row r="97" spans="1:6" x14ac:dyDescent="0.25">
      <c r="A97" s="1" t="s">
        <v>90</v>
      </c>
      <c r="B97" s="1">
        <v>119915.99999999658</v>
      </c>
      <c r="C97" s="1">
        <v>877391999.99994993</v>
      </c>
      <c r="D97" s="1">
        <v>2092.9285903999403</v>
      </c>
      <c r="E97" s="1">
        <v>1.4650500132799582</v>
      </c>
      <c r="F97" s="1">
        <v>15313376.044799127</v>
      </c>
    </row>
    <row r="98" spans="1:6" x14ac:dyDescent="0.25">
      <c r="A98" s="1" t="s">
        <v>91</v>
      </c>
      <c r="B98" s="1">
        <v>125784.00000002861</v>
      </c>
      <c r="C98" s="1">
        <v>1162511999.9993393</v>
      </c>
      <c r="D98" s="1">
        <v>2195.3444896004994</v>
      </c>
      <c r="E98" s="1">
        <v>1.5367411427203495</v>
      </c>
      <c r="F98" s="1">
        <v>20289657.772788472</v>
      </c>
    </row>
    <row r="99" spans="1:6" x14ac:dyDescent="0.25">
      <c r="A99" s="1" t="s">
        <v>92</v>
      </c>
      <c r="B99" s="1">
        <v>116333.99999996695</v>
      </c>
      <c r="C99" s="1">
        <v>1284984000.0027063</v>
      </c>
      <c r="D99" s="1">
        <v>2030.4109095994233</v>
      </c>
      <c r="E99" s="1">
        <v>1.4212876367195963</v>
      </c>
      <c r="F99" s="1">
        <v>22427196.969647236</v>
      </c>
    </row>
    <row r="100" spans="1:6" x14ac:dyDescent="0.25">
      <c r="A100" s="1" t="s">
        <v>93</v>
      </c>
      <c r="B100" s="1">
        <v>117827.99999996653</v>
      </c>
      <c r="C100" s="1">
        <v>1162836000.0008826</v>
      </c>
      <c r="D100" s="1">
        <v>2056.4861231994159</v>
      </c>
      <c r="E100" s="1">
        <v>1.439540286239591</v>
      </c>
      <c r="F100" s="1">
        <v>20295312.638415404</v>
      </c>
    </row>
    <row r="101" spans="1:6" x14ac:dyDescent="0.25">
      <c r="A101" s="1" t="s">
        <v>94</v>
      </c>
      <c r="B101" s="1">
        <v>125945.9999999642</v>
      </c>
      <c r="C101" s="1">
        <v>1046519999.999405</v>
      </c>
      <c r="D101" s="1">
        <v>2198.1719223993755</v>
      </c>
      <c r="E101" s="1">
        <v>1.5387203456795628</v>
      </c>
      <c r="F101" s="1">
        <v>18265215.887989618</v>
      </c>
    </row>
    <row r="102" spans="1:6" x14ac:dyDescent="0.25">
      <c r="A102" s="1" t="s">
        <v>95</v>
      </c>
      <c r="B102" s="1">
        <v>115847.99999990781</v>
      </c>
      <c r="C102" s="1">
        <v>1357235999.9984841</v>
      </c>
      <c r="D102" s="1">
        <v>2021.9286111983911</v>
      </c>
      <c r="E102" s="1">
        <v>1.4153500278388738</v>
      </c>
      <c r="F102" s="1">
        <v>23688231.998373546</v>
      </c>
    </row>
    <row r="103" spans="1:6" x14ac:dyDescent="0.25">
      <c r="A103" s="1" t="s">
        <v>96</v>
      </c>
      <c r="B103" s="1">
        <v>97865.999999922118</v>
      </c>
      <c r="C103" s="1">
        <v>502524000.00338447</v>
      </c>
      <c r="D103" s="1">
        <v>1708.0835703986409</v>
      </c>
      <c r="E103" s="1">
        <v>1.1956584992790487</v>
      </c>
      <c r="F103" s="1">
        <v>8770696.5456590708</v>
      </c>
    </row>
    <row r="104" spans="1:6" x14ac:dyDescent="0.25">
      <c r="A104" s="1" t="s">
        <v>97</v>
      </c>
      <c r="B104" s="1">
        <v>90953.999999927604</v>
      </c>
      <c r="C104" s="1">
        <v>808308000.0004946</v>
      </c>
      <c r="D104" s="1">
        <v>1587.4464375987363</v>
      </c>
      <c r="E104" s="1">
        <v>1.1112125063191154</v>
      </c>
      <c r="F104" s="1">
        <v>14107633.035208633</v>
      </c>
    </row>
    <row r="105" spans="1:6" x14ac:dyDescent="0.25">
      <c r="A105" s="1" t="s">
        <v>98</v>
      </c>
      <c r="B105" s="1">
        <v>106920.00000002432</v>
      </c>
      <c r="C105" s="1">
        <v>879012000.00039983</v>
      </c>
      <c r="D105" s="1">
        <v>1866.1056480004245</v>
      </c>
      <c r="E105" s="1">
        <v>1.3062739536002972</v>
      </c>
      <c r="F105" s="1">
        <v>15341650.372806977</v>
      </c>
    </row>
    <row r="106" spans="1:6" x14ac:dyDescent="0.25">
      <c r="A106" s="1" t="s">
        <v>99</v>
      </c>
      <c r="B106" s="1">
        <v>116423.99999990736</v>
      </c>
      <c r="C106" s="1">
        <v>926963999.99732924</v>
      </c>
      <c r="D106" s="1">
        <v>2031.9817055983835</v>
      </c>
      <c r="E106" s="1">
        <v>1.4223871939188684</v>
      </c>
      <c r="F106" s="1">
        <v>16178570.481553387</v>
      </c>
    </row>
    <row r="107" spans="1:6" x14ac:dyDescent="0.25">
      <c r="A107" s="1" t="s">
        <v>100</v>
      </c>
      <c r="B107" s="1">
        <v>91458.000000020809</v>
      </c>
      <c r="C107" s="1">
        <v>938401199.99802244</v>
      </c>
      <c r="D107" s="1">
        <v>1596.2428952003631</v>
      </c>
      <c r="E107" s="1">
        <v>1.117370026640254</v>
      </c>
      <c r="F107" s="1">
        <v>16378187.237245485</v>
      </c>
    </row>
    <row r="108" spans="1:6" x14ac:dyDescent="0.25">
      <c r="A108" s="1" t="s">
        <v>101</v>
      </c>
      <c r="B108" s="1">
        <v>92646.000000021071</v>
      </c>
      <c r="C108" s="1">
        <v>890676000.00052047</v>
      </c>
      <c r="D108" s="1">
        <v>1616.9774024003677</v>
      </c>
      <c r="E108" s="1">
        <v>1.1318841816802574</v>
      </c>
      <c r="F108" s="1">
        <v>15545225.534409085</v>
      </c>
    </row>
    <row r="109" spans="1:6" x14ac:dyDescent="0.25">
      <c r="A109" s="1" t="s">
        <v>102</v>
      </c>
      <c r="B109" s="1">
        <v>136097.9999999961</v>
      </c>
      <c r="C109" s="1">
        <v>1420091999.9997866</v>
      </c>
      <c r="D109" s="1">
        <v>2375.3577111999321</v>
      </c>
      <c r="E109" s="1">
        <v>1.6627503978399523</v>
      </c>
      <c r="F109" s="1">
        <v>24785275.92479628</v>
      </c>
    </row>
    <row r="110" spans="1:6" x14ac:dyDescent="0.25">
      <c r="A110" s="1" t="s">
        <v>103</v>
      </c>
      <c r="B110" s="1">
        <v>85535.999999997584</v>
      </c>
      <c r="C110" s="1">
        <v>707777999.99993229</v>
      </c>
      <c r="D110" s="1">
        <v>1492.8845183999579</v>
      </c>
      <c r="E110" s="1">
        <v>1.0450191628799705</v>
      </c>
      <c r="F110" s="1">
        <v>12353053.90319882</v>
      </c>
    </row>
    <row r="111" spans="1:6" x14ac:dyDescent="0.25">
      <c r="A111" s="1" t="s">
        <v>104</v>
      </c>
      <c r="B111" s="1">
        <v>85265.999999992142</v>
      </c>
      <c r="C111" s="1">
        <v>815184000.00008011</v>
      </c>
      <c r="D111" s="1">
        <v>1488.1721303998629</v>
      </c>
      <c r="E111" s="1">
        <v>1.0417204912799041</v>
      </c>
      <c r="F111" s="1">
        <v>14227641.849601399</v>
      </c>
    </row>
    <row r="112" spans="1:6" x14ac:dyDescent="0.25">
      <c r="A112" s="1" t="s">
        <v>105</v>
      </c>
      <c r="B112" s="1">
        <v>100475.99999999713</v>
      </c>
      <c r="C112" s="1">
        <v>1194263999.9998922</v>
      </c>
      <c r="D112" s="1">
        <v>1753.6366543999502</v>
      </c>
      <c r="E112" s="1">
        <v>1.2275456580799651</v>
      </c>
      <c r="F112" s="1">
        <v>20843834.601598121</v>
      </c>
    </row>
    <row r="113" spans="1:6" x14ac:dyDescent="0.25">
      <c r="A113" s="1" t="s">
        <v>106</v>
      </c>
      <c r="B113" s="1">
        <v>82260.000000008193</v>
      </c>
      <c r="C113" s="1">
        <v>986158799.99993861</v>
      </c>
      <c r="D113" s="1">
        <v>1435.7075440001429</v>
      </c>
      <c r="E113" s="1">
        <v>1.0049952808000999</v>
      </c>
      <c r="F113" s="1">
        <v>17211714.426718928</v>
      </c>
    </row>
    <row r="114" spans="1:6" x14ac:dyDescent="0.25">
      <c r="A114" s="1" t="s">
        <v>107</v>
      </c>
      <c r="B114" s="1">
        <v>67229.999999998094</v>
      </c>
      <c r="C114" s="1">
        <v>714290399.99972725</v>
      </c>
      <c r="D114" s="1">
        <v>1173.3846119999666</v>
      </c>
      <c r="E114" s="1">
        <v>0.82136922839997661</v>
      </c>
      <c r="F114" s="1">
        <v>12466716.701755241</v>
      </c>
    </row>
    <row r="115" spans="1:6" x14ac:dyDescent="0.25">
      <c r="A115" s="1" t="s">
        <v>108</v>
      </c>
      <c r="B115" s="1">
        <v>72413.999999997948</v>
      </c>
      <c r="C115" s="1">
        <v>1246104000.0000815</v>
      </c>
      <c r="D115" s="1">
        <v>1263.8624615999643</v>
      </c>
      <c r="E115" s="1">
        <v>0.88470372311997492</v>
      </c>
      <c r="F115" s="1">
        <v>21748613.097601425</v>
      </c>
    </row>
    <row r="116" spans="1:6" x14ac:dyDescent="0.25">
      <c r="A116" s="1" t="s">
        <v>109</v>
      </c>
      <c r="B116" s="1">
        <v>79704.000000007931</v>
      </c>
      <c r="C116" s="1">
        <v>687204000.00014496</v>
      </c>
      <c r="D116" s="1">
        <v>1391.0969376001385</v>
      </c>
      <c r="E116" s="1">
        <v>0.97376785632009699</v>
      </c>
      <c r="F116" s="1">
        <v>11993969.937602531</v>
      </c>
    </row>
    <row r="117" spans="1:6" x14ac:dyDescent="0.25">
      <c r="A117" s="1" t="s">
        <v>110</v>
      </c>
      <c r="B117" s="1">
        <v>72792.000000007218</v>
      </c>
      <c r="C117" s="1">
        <v>698868000.00021672</v>
      </c>
      <c r="D117" s="1">
        <v>1270.459804800126</v>
      </c>
      <c r="E117" s="1">
        <v>0.88932186336008823</v>
      </c>
      <c r="F117" s="1">
        <v>12197545.099203782</v>
      </c>
    </row>
    <row r="118" spans="1:6" x14ac:dyDescent="0.25">
      <c r="A118" s="1" t="s">
        <v>111</v>
      </c>
      <c r="B118" s="1">
        <v>65376.000000002321</v>
      </c>
      <c r="C118" s="1">
        <v>583524000.00007951</v>
      </c>
      <c r="D118" s="1">
        <v>1141.0262144000405</v>
      </c>
      <c r="E118" s="1">
        <v>0.79871835008002834</v>
      </c>
      <c r="F118" s="1">
        <v>10184412.945601387</v>
      </c>
    </row>
    <row r="119" spans="1:6" x14ac:dyDescent="0.25">
      <c r="A119" s="1" t="s">
        <v>112</v>
      </c>
      <c r="B119" s="1">
        <v>83412.000000008309</v>
      </c>
      <c r="C119" s="1">
        <v>926316000.00013947</v>
      </c>
      <c r="D119" s="1">
        <v>1455.8137328001451</v>
      </c>
      <c r="E119" s="1">
        <v>1.0190696129601016</v>
      </c>
      <c r="F119" s="1">
        <v>16167260.750402434</v>
      </c>
    </row>
    <row r="120" spans="1:6" x14ac:dyDescent="0.25">
      <c r="A120" s="1" t="s">
        <v>113</v>
      </c>
      <c r="B120" s="1">
        <v>64656.000000000233</v>
      </c>
      <c r="C120" s="1">
        <v>535734000.00001407</v>
      </c>
      <c r="D120" s="1">
        <v>1128.4598464000042</v>
      </c>
      <c r="E120" s="1">
        <v>0.78992189248000289</v>
      </c>
      <c r="F120" s="1">
        <v>9350320.2696002461</v>
      </c>
    </row>
    <row r="121" spans="1:6" x14ac:dyDescent="0.25">
      <c r="A121" s="1" t="s">
        <v>114</v>
      </c>
      <c r="B121" s="1">
        <v>68489.999999998079</v>
      </c>
      <c r="C121" s="1">
        <v>872855999.99993896</v>
      </c>
      <c r="D121" s="1">
        <v>1195.3757559999665</v>
      </c>
      <c r="E121" s="1">
        <v>0.83676302919997647</v>
      </c>
      <c r="F121" s="1">
        <v>15234207.926398935</v>
      </c>
    </row>
    <row r="123" spans="1:6" x14ac:dyDescent="0.25">
      <c r="A123" s="1" t="s">
        <v>43</v>
      </c>
      <c r="B123" s="1">
        <v>101064.99999999056</v>
      </c>
      <c r="C123" s="1">
        <v>1194062200.0000212</v>
      </c>
      <c r="D123" s="1">
        <v>1763.91664155539</v>
      </c>
      <c r="E123" s="1">
        <v>1.234741649088773</v>
      </c>
      <c r="F123" s="1">
        <v>16798760.236699816</v>
      </c>
    </row>
    <row r="124" spans="1:6" x14ac:dyDescent="0.25">
      <c r="A124" s="1" t="s">
        <v>119</v>
      </c>
      <c r="B124" s="1">
        <f>_xlfn.STDEV.P(B86:B121)</f>
        <v>20770.448647050609</v>
      </c>
      <c r="C124" s="1">
        <f t="shared" ref="C124:F124" si="2">_xlfn.STDEV.P(C86:C121)</f>
        <v>315998735.43474197</v>
      </c>
      <c r="D124" s="1">
        <f t="shared" si="2"/>
        <v>362.512640588811</v>
      </c>
      <c r="E124" s="1">
        <f t="shared" si="2"/>
        <v>0.2537588484121665</v>
      </c>
      <c r="F124" s="1">
        <f t="shared" si="2"/>
        <v>5515217.2180661289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85DA2-121B-4E6A-92DF-315BD588152B}">
  <dimension ref="A1:F81"/>
  <sheetViews>
    <sheetView tabSelected="1" topLeftCell="A55" zoomScale="102" zoomScaleNormal="102" workbookViewId="0">
      <selection activeCell="D61" sqref="D61"/>
    </sheetView>
  </sheetViews>
  <sheetFormatPr defaultRowHeight="15" x14ac:dyDescent="0.25"/>
  <cols>
    <col min="1" max="1" width="26" style="1" bestFit="1" customWidth="1"/>
    <col min="2" max="2" width="37.28515625" style="1" bestFit="1" customWidth="1"/>
    <col min="3" max="3" width="37.28515625" style="1" customWidth="1"/>
    <col min="4" max="4" width="37.28515625" style="1" bestFit="1" customWidth="1"/>
    <col min="5" max="16384" width="9.140625" style="1"/>
  </cols>
  <sheetData>
    <row r="1" spans="1:4" x14ac:dyDescent="0.25">
      <c r="A1" s="1" t="s">
        <v>118</v>
      </c>
      <c r="B1" s="2" t="s">
        <v>115</v>
      </c>
      <c r="C1" s="1" t="s">
        <v>118</v>
      </c>
      <c r="D1" s="2" t="s">
        <v>116</v>
      </c>
    </row>
    <row r="2" spans="1:4" x14ac:dyDescent="0.25">
      <c r="B2" s="1" t="s">
        <v>117</v>
      </c>
      <c r="D2" s="1" t="s">
        <v>117</v>
      </c>
    </row>
    <row r="3" spans="1:4" x14ac:dyDescent="0.25">
      <c r="A3" s="1" t="s">
        <v>6</v>
      </c>
      <c r="B3" s="1">
        <v>16950.459635990366</v>
      </c>
      <c r="C3" s="1" t="s">
        <v>79</v>
      </c>
      <c r="D3" s="1">
        <v>18881.596238399885</v>
      </c>
    </row>
    <row r="4" spans="1:4" x14ac:dyDescent="0.25">
      <c r="A4" s="1" t="s">
        <v>7</v>
      </c>
      <c r="B4" s="1">
        <v>12882.349323345645</v>
      </c>
      <c r="C4" s="1" t="s">
        <v>80</v>
      </c>
      <c r="D4" s="1">
        <v>23279.385215519997</v>
      </c>
    </row>
    <row r="5" spans="1:4" x14ac:dyDescent="0.25">
      <c r="A5" s="1" t="s">
        <v>8</v>
      </c>
      <c r="B5" s="1">
        <v>10680.34465871077</v>
      </c>
      <c r="C5" s="1" t="s">
        <v>81</v>
      </c>
      <c r="D5" s="1">
        <v>9717.8865335999999</v>
      </c>
    </row>
    <row r="6" spans="1:4" x14ac:dyDescent="0.25">
      <c r="A6" s="1" t="s">
        <v>9</v>
      </c>
      <c r="B6" s="1">
        <v>12832.586506064317</v>
      </c>
      <c r="C6" s="1" t="s">
        <v>82</v>
      </c>
      <c r="D6" s="1">
        <v>13296.285485279999</v>
      </c>
    </row>
    <row r="7" spans="1:4" x14ac:dyDescent="0.25">
      <c r="A7" s="1" t="s">
        <v>10</v>
      </c>
      <c r="B7" s="1">
        <v>11333.481635512922</v>
      </c>
      <c r="C7" s="1" t="s">
        <v>83</v>
      </c>
      <c r="D7" s="1">
        <v>11095.411793760002</v>
      </c>
    </row>
    <row r="8" spans="1:4" x14ac:dyDescent="0.25">
      <c r="A8" s="1" t="s">
        <v>11</v>
      </c>
      <c r="B8" s="1">
        <v>9859.2581735940603</v>
      </c>
      <c r="C8" s="1" t="s">
        <v>84</v>
      </c>
      <c r="D8" s="1">
        <v>11471.46035616</v>
      </c>
    </row>
    <row r="9" spans="1:4" x14ac:dyDescent="0.25">
      <c r="A9" s="1" t="s">
        <v>12</v>
      </c>
      <c r="B9" s="1">
        <v>14928.845183979065</v>
      </c>
      <c r="C9" s="1" t="s">
        <v>85</v>
      </c>
      <c r="D9" s="1">
        <v>6875.7510830399997</v>
      </c>
    </row>
    <row r="10" spans="1:4" x14ac:dyDescent="0.25">
      <c r="A10" s="1" t="s">
        <v>13</v>
      </c>
      <c r="B10" s="1">
        <v>10854.514519182807</v>
      </c>
      <c r="C10" s="1" t="s">
        <v>86</v>
      </c>
      <c r="D10" s="1">
        <v>5933.6504740800001</v>
      </c>
    </row>
    <row r="11" spans="1:4" x14ac:dyDescent="0.25">
      <c r="A11" s="1" t="s">
        <v>14</v>
      </c>
      <c r="B11" s="1">
        <v>8273.0683728116583</v>
      </c>
      <c r="C11" s="1" t="s">
        <v>87</v>
      </c>
      <c r="D11" s="1">
        <v>16784.432781984149</v>
      </c>
    </row>
    <row r="12" spans="1:4" x14ac:dyDescent="0.25">
      <c r="A12" s="1" t="s">
        <v>15</v>
      </c>
      <c r="B12" s="1">
        <v>10381.767755056284</v>
      </c>
      <c r="C12" s="1" t="s">
        <v>88</v>
      </c>
      <c r="D12" s="1">
        <v>17139.897633599019</v>
      </c>
    </row>
    <row r="13" spans="1:4" x14ac:dyDescent="0.25">
      <c r="A13" s="1" t="s">
        <v>16</v>
      </c>
      <c r="B13" s="1">
        <v>9753.5121868671413</v>
      </c>
      <c r="C13" s="1" t="s">
        <v>89</v>
      </c>
      <c r="D13" s="1">
        <v>12219.599075039308</v>
      </c>
    </row>
    <row r="14" spans="1:4" x14ac:dyDescent="0.25">
      <c r="A14" s="1" t="s">
        <v>17</v>
      </c>
      <c r="B14" s="1">
        <v>11227.735648793641</v>
      </c>
      <c r="C14" s="1" t="s">
        <v>90</v>
      </c>
      <c r="D14" s="1">
        <v>10719.363231359388</v>
      </c>
    </row>
    <row r="15" spans="1:4" x14ac:dyDescent="0.25">
      <c r="A15" s="1" t="s">
        <v>18</v>
      </c>
      <c r="B15" s="1">
        <v>10667.903954416499</v>
      </c>
      <c r="C15" s="1" t="s">
        <v>91</v>
      </c>
      <c r="D15" s="1">
        <v>14202.76044095193</v>
      </c>
    </row>
    <row r="16" spans="1:4" x14ac:dyDescent="0.25">
      <c r="A16" s="1" t="s">
        <v>19</v>
      </c>
      <c r="B16" s="1">
        <v>10101.851907824464</v>
      </c>
      <c r="C16" s="1" t="s">
        <v>92</v>
      </c>
      <c r="D16" s="1">
        <v>15699.037878753064</v>
      </c>
    </row>
    <row r="17" spans="1:4" x14ac:dyDescent="0.25">
      <c r="A17" s="1" t="s">
        <v>20</v>
      </c>
      <c r="B17" s="1">
        <v>8720.9337283534533</v>
      </c>
      <c r="C17" s="1" t="s">
        <v>93</v>
      </c>
      <c r="D17" s="1">
        <v>14206.718846890781</v>
      </c>
    </row>
    <row r="18" spans="1:4" x14ac:dyDescent="0.25">
      <c r="A18" s="1" t="s">
        <v>21</v>
      </c>
      <c r="B18" s="1">
        <v>7539.0668179076392</v>
      </c>
      <c r="C18" s="1" t="s">
        <v>94</v>
      </c>
      <c r="D18" s="1">
        <v>12785.651121592733</v>
      </c>
    </row>
    <row r="19" spans="1:4" x14ac:dyDescent="0.25">
      <c r="A19" s="1" t="s">
        <v>22</v>
      </c>
      <c r="B19" s="1">
        <v>9778.3935955244469</v>
      </c>
      <c r="C19" s="1" t="s">
        <v>95</v>
      </c>
      <c r="D19" s="1">
        <v>16581.76239886148</v>
      </c>
    </row>
    <row r="20" spans="1:4" x14ac:dyDescent="0.25">
      <c r="A20" s="1" t="s">
        <v>23</v>
      </c>
      <c r="B20" s="1">
        <v>9411.392818094464</v>
      </c>
      <c r="C20" s="1" t="s">
        <v>96</v>
      </c>
      <c r="D20" s="1">
        <v>6139.4875819613499</v>
      </c>
    </row>
    <row r="21" spans="1:4" x14ac:dyDescent="0.25">
      <c r="A21" s="1" t="s">
        <v>45</v>
      </c>
      <c r="B21" s="1">
        <v>3135.0574886475197</v>
      </c>
      <c r="C21" s="1" t="s">
        <v>97</v>
      </c>
      <c r="D21" s="1">
        <v>9875.3431246460441</v>
      </c>
    </row>
    <row r="22" spans="1:4" x14ac:dyDescent="0.25">
      <c r="A22" s="1" t="s">
        <v>46</v>
      </c>
      <c r="B22" s="1">
        <v>4739.9083459221602</v>
      </c>
      <c r="C22" s="1" t="s">
        <v>98</v>
      </c>
      <c r="D22" s="1">
        <v>10739.155260964884</v>
      </c>
    </row>
    <row r="23" spans="1:4" x14ac:dyDescent="0.25">
      <c r="A23" s="1" t="s">
        <v>47</v>
      </c>
      <c r="B23" s="1">
        <v>2674.751428806891</v>
      </c>
      <c r="C23" s="1" t="s">
        <v>99</v>
      </c>
      <c r="D23" s="1">
        <v>11324.999337087371</v>
      </c>
    </row>
    <row r="24" spans="1:4" x14ac:dyDescent="0.25">
      <c r="A24" s="1" t="s">
        <v>48</v>
      </c>
      <c r="B24" s="1">
        <v>7551.5075222318892</v>
      </c>
      <c r="C24" s="1" t="s">
        <v>100</v>
      </c>
      <c r="D24" s="1">
        <v>11464.731066071838</v>
      </c>
    </row>
    <row r="25" spans="1:4" x14ac:dyDescent="0.25">
      <c r="A25" s="1" t="s">
        <v>49</v>
      </c>
      <c r="B25" s="1">
        <v>4459.992498724795</v>
      </c>
      <c r="C25" s="1" t="s">
        <v>101</v>
      </c>
      <c r="D25" s="1">
        <v>10881.657874086359</v>
      </c>
    </row>
    <row r="26" spans="1:4" x14ac:dyDescent="0.25">
      <c r="A26" s="1" t="s">
        <v>50</v>
      </c>
      <c r="B26" s="1">
        <v>8538.0553748172788</v>
      </c>
      <c r="C26" s="1" t="s">
        <v>102</v>
      </c>
      <c r="D26" s="1">
        <v>17349.693147357393</v>
      </c>
    </row>
    <row r="27" spans="1:4" x14ac:dyDescent="0.25">
      <c r="A27" s="1" t="s">
        <v>51</v>
      </c>
      <c r="B27" s="1">
        <v>4124.0934820852681</v>
      </c>
      <c r="C27" s="1" t="s">
        <v>103</v>
      </c>
      <c r="D27" s="1">
        <v>8647.1377322391745</v>
      </c>
    </row>
    <row r="28" spans="1:4" x14ac:dyDescent="0.25">
      <c r="A28" s="1" t="s">
        <v>52</v>
      </c>
      <c r="B28" s="1">
        <v>4876.4606267121198</v>
      </c>
      <c r="C28" s="1" t="s">
        <v>104</v>
      </c>
      <c r="D28" s="1">
        <v>9959.3492947209797</v>
      </c>
    </row>
    <row r="29" spans="1:4" x14ac:dyDescent="0.25">
      <c r="A29" s="1" t="s">
        <v>53</v>
      </c>
      <c r="B29" s="1">
        <v>6209.1555261109834</v>
      </c>
      <c r="C29" s="1" t="s">
        <v>105</v>
      </c>
      <c r="D29" s="1">
        <v>14590.684221118685</v>
      </c>
    </row>
    <row r="30" spans="1:4" x14ac:dyDescent="0.25">
      <c r="A30" s="1" t="s">
        <v>54</v>
      </c>
      <c r="B30" s="1">
        <v>7060.0997015996336</v>
      </c>
      <c r="C30" s="1" t="s">
        <v>106</v>
      </c>
      <c r="D30" s="1">
        <v>12048.200098703248</v>
      </c>
    </row>
    <row r="31" spans="1:4" x14ac:dyDescent="0.25">
      <c r="A31" s="1" t="s">
        <v>55</v>
      </c>
      <c r="B31" s="1">
        <v>4121.328881119578</v>
      </c>
      <c r="C31" s="1" t="s">
        <v>107</v>
      </c>
      <c r="D31" s="1">
        <v>8726.7016912286672</v>
      </c>
    </row>
    <row r="32" spans="1:4" x14ac:dyDescent="0.25">
      <c r="A32" s="1" t="s">
        <v>56</v>
      </c>
      <c r="B32" s="1">
        <v>2351.2931164918687</v>
      </c>
      <c r="C32" s="1" t="s">
        <v>108</v>
      </c>
      <c r="D32" s="1">
        <v>15224.029168320996</v>
      </c>
    </row>
    <row r="33" spans="1:4" x14ac:dyDescent="0.25">
      <c r="A33" s="1" t="s">
        <v>57</v>
      </c>
      <c r="B33" s="1">
        <v>5355.7232097701608</v>
      </c>
      <c r="C33" s="1" t="s">
        <v>109</v>
      </c>
      <c r="D33" s="1">
        <v>8395.7789563217721</v>
      </c>
    </row>
    <row r="34" spans="1:4" x14ac:dyDescent="0.25">
      <c r="A34" s="1" t="s">
        <v>58</v>
      </c>
      <c r="B34" s="1">
        <v>4292.0429904100456</v>
      </c>
      <c r="C34" s="1" t="s">
        <v>110</v>
      </c>
      <c r="D34" s="1">
        <v>8538.2815694426463</v>
      </c>
    </row>
    <row r="35" spans="1:4" x14ac:dyDescent="0.25">
      <c r="A35" s="1" t="s">
        <v>59</v>
      </c>
      <c r="B35" s="1">
        <v>6960.5740670306222</v>
      </c>
      <c r="C35" s="1" t="s">
        <v>111</v>
      </c>
      <c r="D35" s="1">
        <v>7129.0890619209704</v>
      </c>
    </row>
    <row r="36" spans="1:4" x14ac:dyDescent="0.25">
      <c r="A36" s="1" t="s">
        <v>60</v>
      </c>
      <c r="B36" s="1">
        <v>7333.7951966433229</v>
      </c>
      <c r="C36" s="1" t="s">
        <v>112</v>
      </c>
      <c r="D36" s="1">
        <v>11317.082525281703</v>
      </c>
    </row>
    <row r="37" spans="1:4" x14ac:dyDescent="0.25">
      <c r="A37" s="1" t="s">
        <v>61</v>
      </c>
      <c r="B37" s="1">
        <v>6997.8961799893614</v>
      </c>
      <c r="C37" s="1" t="s">
        <v>113</v>
      </c>
      <c r="D37" s="1">
        <v>6545.2241887201726</v>
      </c>
    </row>
    <row r="38" spans="1:4" x14ac:dyDescent="0.25">
      <c r="A38" s="1" t="s">
        <v>62</v>
      </c>
      <c r="B38" s="1">
        <v>5231.3161665624084</v>
      </c>
      <c r="C38" s="1" t="s">
        <v>114</v>
      </c>
      <c r="D38" s="1">
        <v>10663.945548479254</v>
      </c>
    </row>
    <row r="39" spans="1:4" x14ac:dyDescent="0.25">
      <c r="A39" s="1" t="s">
        <v>63</v>
      </c>
      <c r="B39" s="1">
        <v>11880.872625603681</v>
      </c>
    </row>
    <row r="40" spans="1:4" x14ac:dyDescent="0.25">
      <c r="A40" s="1" t="s">
        <v>64</v>
      </c>
      <c r="B40" s="1">
        <v>7912.2879475328282</v>
      </c>
    </row>
    <row r="41" spans="1:4" x14ac:dyDescent="0.25">
      <c r="A41" s="1" t="s">
        <v>65</v>
      </c>
      <c r="B41" s="1">
        <v>6991.6758278299694</v>
      </c>
    </row>
    <row r="42" spans="1:4" x14ac:dyDescent="0.25">
      <c r="A42" s="1" t="s">
        <v>66</v>
      </c>
      <c r="B42" s="1">
        <v>16645.662380160848</v>
      </c>
    </row>
    <row r="43" spans="1:4" x14ac:dyDescent="0.25">
      <c r="A43" s="1" t="s">
        <v>67</v>
      </c>
      <c r="B43" s="1">
        <v>13037.85812736056</v>
      </c>
    </row>
    <row r="44" spans="1:4" x14ac:dyDescent="0.25">
      <c r="A44" s="1" t="s">
        <v>68</v>
      </c>
      <c r="B44" s="1">
        <v>8988.4088711994791</v>
      </c>
    </row>
    <row r="45" spans="1:4" x14ac:dyDescent="0.25">
      <c r="A45" s="1" t="s">
        <v>69</v>
      </c>
      <c r="B45" s="1">
        <v>6699.3192763140642</v>
      </c>
    </row>
    <row r="46" spans="1:4" x14ac:dyDescent="0.25">
      <c r="A46" s="1" t="s">
        <v>70</v>
      </c>
      <c r="B46" s="1">
        <v>5971.5380736034367</v>
      </c>
    </row>
    <row r="47" spans="1:4" x14ac:dyDescent="0.25">
      <c r="A47" s="1" t="s">
        <v>71</v>
      </c>
      <c r="B47" s="1">
        <v>10620.629277987911</v>
      </c>
    </row>
    <row r="48" spans="1:4" x14ac:dyDescent="0.25">
      <c r="A48" s="1" t="s">
        <v>72</v>
      </c>
      <c r="B48" s="1">
        <v>6910.8112497579732</v>
      </c>
    </row>
    <row r="49" spans="1:2" x14ac:dyDescent="0.25">
      <c r="A49" s="1" t="s">
        <v>73</v>
      </c>
      <c r="B49" s="1">
        <v>6935.6926583996192</v>
      </c>
    </row>
    <row r="50" spans="1:2" x14ac:dyDescent="0.25">
      <c r="A50" s="1" t="s">
        <v>74</v>
      </c>
      <c r="B50" s="1">
        <v>5370.6520549390261</v>
      </c>
    </row>
    <row r="51" spans="1:2" x14ac:dyDescent="0.25">
      <c r="A51" s="1" t="s">
        <v>24</v>
      </c>
      <c r="B51" s="1">
        <v>5909.3345520027005</v>
      </c>
    </row>
    <row r="52" spans="1:2" x14ac:dyDescent="0.25">
      <c r="A52" s="1" t="s">
        <v>25</v>
      </c>
      <c r="B52" s="1">
        <v>16120.664657845296</v>
      </c>
    </row>
    <row r="53" spans="1:2" x14ac:dyDescent="0.25">
      <c r="A53" s="1" t="s">
        <v>26</v>
      </c>
      <c r="B53" s="1">
        <v>11016.243675375359</v>
      </c>
    </row>
    <row r="54" spans="1:2" x14ac:dyDescent="0.25">
      <c r="A54" s="1" t="s">
        <v>27</v>
      </c>
      <c r="B54" s="1">
        <v>9250.4101041796221</v>
      </c>
    </row>
    <row r="55" spans="1:2" x14ac:dyDescent="0.25">
      <c r="A55" s="1" t="s">
        <v>28</v>
      </c>
      <c r="B55" s="1">
        <v>7460.939194789983</v>
      </c>
    </row>
    <row r="56" spans="1:2" x14ac:dyDescent="0.25">
      <c r="A56" s="1" t="s">
        <v>29</v>
      </c>
      <c r="B56" s="1">
        <v>7605.7489930747943</v>
      </c>
    </row>
    <row r="57" spans="1:2" x14ac:dyDescent="0.25">
      <c r="A57" s="1" t="s">
        <v>30</v>
      </c>
      <c r="B57" s="1">
        <v>12001.980578321658</v>
      </c>
    </row>
    <row r="58" spans="1:2" x14ac:dyDescent="0.25">
      <c r="A58" s="1" t="s">
        <v>75</v>
      </c>
      <c r="B58" s="1">
        <v>12414.267823319282</v>
      </c>
    </row>
    <row r="59" spans="1:2" x14ac:dyDescent="0.25">
      <c r="A59" s="1" t="s">
        <v>76</v>
      </c>
      <c r="B59" s="1">
        <v>2534.7935051998502</v>
      </c>
    </row>
    <row r="60" spans="1:2" x14ac:dyDescent="0.25">
      <c r="A60" s="1" t="s">
        <v>77</v>
      </c>
      <c r="B60" s="1">
        <v>4631.0521831185424</v>
      </c>
    </row>
    <row r="61" spans="1:2" x14ac:dyDescent="0.25">
      <c r="A61" s="1" t="s">
        <v>31</v>
      </c>
      <c r="B61" s="1">
        <v>19534.432800453891</v>
      </c>
    </row>
    <row r="62" spans="1:2" x14ac:dyDescent="0.25">
      <c r="A62" s="1" t="s">
        <v>32</v>
      </c>
      <c r="B62" s="1">
        <v>7744.3384391836789</v>
      </c>
    </row>
    <row r="63" spans="1:2" x14ac:dyDescent="0.25">
      <c r="A63" s="1" t="s">
        <v>33</v>
      </c>
      <c r="B63" s="1">
        <v>10946.575731176863</v>
      </c>
    </row>
    <row r="64" spans="1:2" x14ac:dyDescent="0.25">
      <c r="A64" s="1" t="s">
        <v>34</v>
      </c>
      <c r="B64" s="1">
        <v>11059.786140518234</v>
      </c>
    </row>
    <row r="65" spans="1:4" x14ac:dyDescent="0.25">
      <c r="A65" s="1" t="s">
        <v>35</v>
      </c>
      <c r="B65" s="1">
        <v>16104.491742285873</v>
      </c>
    </row>
    <row r="66" spans="1:4" x14ac:dyDescent="0.25">
      <c r="A66" s="1" t="s">
        <v>36</v>
      </c>
      <c r="B66" s="1">
        <v>7694.5756219295818</v>
      </c>
    </row>
    <row r="67" spans="1:4" x14ac:dyDescent="0.25">
      <c r="A67" s="1" t="s">
        <v>37</v>
      </c>
      <c r="B67" s="1">
        <v>13367.536791824858</v>
      </c>
    </row>
    <row r="68" spans="1:4" x14ac:dyDescent="0.25">
      <c r="A68" s="1" t="s">
        <v>38</v>
      </c>
      <c r="B68" s="1">
        <v>18381.140632770377</v>
      </c>
    </row>
    <row r="69" spans="1:4" x14ac:dyDescent="0.25">
      <c r="A69" s="1" t="s">
        <v>39</v>
      </c>
      <c r="B69" s="1">
        <v>9540.3552550488075</v>
      </c>
    </row>
    <row r="70" spans="1:4" x14ac:dyDescent="0.25">
      <c r="A70" s="1" t="s">
        <v>40</v>
      </c>
      <c r="B70" s="1">
        <v>9697.5290174227266</v>
      </c>
    </row>
    <row r="71" spans="1:4" x14ac:dyDescent="0.25">
      <c r="A71" s="1" t="s">
        <v>41</v>
      </c>
      <c r="B71" s="1">
        <v>17068.646327054648</v>
      </c>
    </row>
    <row r="72" spans="1:4" x14ac:dyDescent="0.25">
      <c r="A72" s="1" t="s">
        <v>42</v>
      </c>
      <c r="B72" s="1">
        <v>14780.800802603642</v>
      </c>
    </row>
    <row r="74" spans="1:4" x14ac:dyDescent="0.25">
      <c r="B74" s="2" t="s">
        <v>115</v>
      </c>
      <c r="D74" s="2" t="s">
        <v>116</v>
      </c>
    </row>
    <row r="75" spans="1:4" x14ac:dyDescent="0.25">
      <c r="A75" s="2" t="s">
        <v>43</v>
      </c>
      <c r="B75" s="2">
        <f>AVERAGE(B3:B72)</f>
        <v>9214.5938737985052</v>
      </c>
      <c r="C75" s="2" t="s">
        <v>43</v>
      </c>
      <c r="D75" s="2">
        <f>AVERAGE(D3:D72)</f>
        <v>11956.978389931812</v>
      </c>
    </row>
    <row r="76" spans="1:4" x14ac:dyDescent="0.25">
      <c r="A76" s="2" t="s">
        <v>119</v>
      </c>
      <c r="B76" s="2">
        <f>_xlfn.STDEV.P(B3:B72)</f>
        <v>3973.5974356815768</v>
      </c>
      <c r="C76" s="2" t="s">
        <v>119</v>
      </c>
      <c r="D76" s="2">
        <f>_xlfn.STDEV.P(D3:D72)</f>
        <v>3860.6520526463</v>
      </c>
    </row>
    <row r="77" spans="1:4" x14ac:dyDescent="0.25">
      <c r="B77" s="1" t="s">
        <v>117</v>
      </c>
      <c r="D77" s="1" t="s">
        <v>117</v>
      </c>
    </row>
    <row r="81" spans="5:6" x14ac:dyDescent="0.25">
      <c r="E81" s="3"/>
      <c r="F8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 1. Max angular speed_accel</vt:lpstr>
      <vt:lpstr>Tab 2. Max linear accel stylus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Ha, Namyi</dc:creator>
  <cp:lastModifiedBy>Ha, Namyi</cp:lastModifiedBy>
  <dcterms:created xsi:type="dcterms:W3CDTF">2026-02-18T15:36:39Z</dcterms:created>
  <dcterms:modified xsi:type="dcterms:W3CDTF">2026-03-06T13:21:26Z</dcterms:modified>
</cp:coreProperties>
</file>