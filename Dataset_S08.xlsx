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A1102094-0B47-4EED-B195-E238D85D7F11}" xr6:coauthVersionLast="47" xr6:coauthVersionMax="47" xr10:uidLastSave="{00000000-0000-0000-0000-000000000000}"/>
  <bookViews>
    <workbookView xWindow="28680" yWindow="-120" windowWidth="29040" windowHeight="15840" xr2:uid="{7CAFE426-CDAE-473A-9B9A-C179D94E67E7}"/>
  </bookViews>
  <sheets>
    <sheet name="Tab1.D_eff,fof,lambda" sheetId="1" r:id="rId1"/>
    <sheet name="Tab2.Stylus frequen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1" l="1"/>
  <c r="E85" i="1"/>
  <c r="D86" i="1"/>
  <c r="D85" i="1"/>
  <c r="D45" i="1"/>
  <c r="D44" i="1"/>
  <c r="G86" i="1"/>
  <c r="G85" i="1"/>
  <c r="G45" i="1"/>
  <c r="G44" i="1"/>
  <c r="F86" i="1"/>
  <c r="F85" i="1"/>
  <c r="F45" i="1"/>
  <c r="F44" i="1"/>
</calcChain>
</file>

<file path=xl/sharedStrings.xml><?xml version="1.0" encoding="utf-8"?>
<sst xmlns="http://schemas.openxmlformats.org/spreadsheetml/2006/main" count="104" uniqueCount="96">
  <si>
    <t>n=6, N=34 (adult SLF)</t>
  </si>
  <si>
    <t>File name (adult SLF)</t>
  </si>
  <si>
    <t>Initial effective diameter when ejection [mm]</t>
  </si>
  <si>
    <t>f_o~1/(2pi)*sqrt(64&amp;gamma_honeydew/(rho_w*D_eff,i^3))</t>
  </si>
  <si>
    <t>f (stylus frequency_obtained from kinematic analysis, alpha peak-to-peak_MATLAB)</t>
  </si>
  <si>
    <t>f (stylus frequency_obtained from kinematic analysis, sine fit on acceleration_MATLAB)</t>
  </si>
  <si>
    <t>(f_o/f)</t>
  </si>
  <si>
    <t>Speed ratio, Lambda (Honeydew speed/Max stylus lin. Speed)</t>
  </si>
  <si>
    <t>SLF_male_3X_081623_g_01</t>
  </si>
  <si>
    <t>SLF_male_3X_081623_g_02</t>
  </si>
  <si>
    <t>SLF_male_3X_081623_g_03</t>
  </si>
  <si>
    <t>SLF_male_3X_081623_i_01</t>
  </si>
  <si>
    <t>SLF_male_3X_081623_i_02</t>
  </si>
  <si>
    <t>SLF_male_3X_081623_i_03</t>
  </si>
  <si>
    <t>SLF_male_3X_081623_i_04</t>
  </si>
  <si>
    <t>SLF_male_3X_081623_i_05</t>
  </si>
  <si>
    <t>SLF_male_3X_081623_i_06</t>
  </si>
  <si>
    <t>SLF_male_3X_081623_i_07</t>
  </si>
  <si>
    <t>SLF_male_3X_081623_i_08</t>
  </si>
  <si>
    <t>SLF_male_3X_081623_i_09</t>
  </si>
  <si>
    <t>SLF_male_3X_081623_i_10</t>
  </si>
  <si>
    <t>SLF_male_3X_081623_i_11</t>
  </si>
  <si>
    <t>SLF_male_3X_081623_i_12</t>
  </si>
  <si>
    <t>SLF_male_3X_081623_i_13</t>
  </si>
  <si>
    <t>SLF_male_3X_081623_i_14</t>
  </si>
  <si>
    <t>SLF_male_3X_081623_i_15</t>
  </si>
  <si>
    <t>SLF_male_3X_081623_i_16</t>
  </si>
  <si>
    <t>SLF_male_3X_081623_i_17</t>
  </si>
  <si>
    <t>SLF_male_3X_081623_k_01</t>
  </si>
  <si>
    <t>SLF_male_3X_081623_k_02</t>
  </si>
  <si>
    <t>SLF_male_3X_081623_k_03</t>
  </si>
  <si>
    <t>SLF_male_3X_f_05</t>
  </si>
  <si>
    <t>SLF_male_3X_f_06</t>
  </si>
  <si>
    <t>SLF_male_3X_f_07</t>
  </si>
  <si>
    <t>SLF_male_3X_f_08</t>
  </si>
  <si>
    <t>SLF_male_3X_f_09</t>
  </si>
  <si>
    <t>SLF_male_3X_f_10</t>
  </si>
  <si>
    <t>SLF_05.24.23_7200fps_2X_c_01</t>
  </si>
  <si>
    <t>SLF_05.24.23_7200fps_2X_c_02</t>
  </si>
  <si>
    <t>SLF_05.24.23_7200fps_2X_c_03</t>
  </si>
  <si>
    <t>SLF_05.24.23_7200fps_2X_c_04</t>
  </si>
  <si>
    <t>SLF_05.24.23_10000fps_2X_d_2</t>
  </si>
  <si>
    <t>SLF_female_3X_081623_h_13</t>
  </si>
  <si>
    <t>SLF_female_3X_081623_l_01</t>
  </si>
  <si>
    <t>SLF_female_3X_081623_l_03</t>
  </si>
  <si>
    <t>SLF_female_3X_081623_l_04</t>
  </si>
  <si>
    <t>SLF_female_3X_081623_l_05</t>
  </si>
  <si>
    <t>SLF_female_3X_081623_l_7</t>
  </si>
  <si>
    <t>SLF_05.25.23_18000fps_1X_4th_1</t>
  </si>
  <si>
    <t>SLF_05.25.23_18000fps_1X_4th_2</t>
  </si>
  <si>
    <t>SLF_05.25.23_18000fps_1X_4th_3</t>
  </si>
  <si>
    <t>SLF_05.25.23_18000fps_1X_4th_4</t>
  </si>
  <si>
    <t>SLF_05.25.23_18000fps_1X_4th_5</t>
  </si>
  <si>
    <t>SLF_05.25.23_18000fps_1X_4th_6</t>
  </si>
  <si>
    <t>SLF_05.25.23_18000fps_1X_4th_7</t>
  </si>
  <si>
    <t>SLF_05.25.23_18000fps_1X_4th_8</t>
  </si>
  <si>
    <t>SLF_05.25.23_18000fps_1X_4th_9</t>
  </si>
  <si>
    <t>SLF_05.25.23_18000fps_1X_4th_10</t>
  </si>
  <si>
    <t>SLF_05.25.23_18000fps_1X_4th_11</t>
  </si>
  <si>
    <t>SLF_05.25.23_18000fps_1X_4th_12</t>
  </si>
  <si>
    <t>SLF_05.25.23_18000fps_1X_4th_13</t>
  </si>
  <si>
    <t>SLF_05.25.23_18000fps_1X_4th_14</t>
  </si>
  <si>
    <t>SLF_05.25.23_18000fps_1X_4th_15</t>
  </si>
  <si>
    <t>SLF_05.25.23_18000fps_1X_4th_16</t>
  </si>
  <si>
    <t>SLF_05.25.23_18000fps_1X_4th_17</t>
  </si>
  <si>
    <t>SLF_05.25.23_18000fps_1X_4th_18</t>
  </si>
  <si>
    <t>SLF_05.25.23_18000fps_1X_4th_19</t>
  </si>
  <si>
    <t>SLF_05.25.23_18000fps_1X_4th_20</t>
  </si>
  <si>
    <t>SLF_05.25.23_18000fps_1X_4th_21</t>
  </si>
  <si>
    <t>SLF_05.25.23_18000fps_1X_4th_22</t>
  </si>
  <si>
    <t>SLF_05.25.23_18000fps_1X_4th_23</t>
  </si>
  <si>
    <t>SLF_4th_2X_081723_f_1</t>
  </si>
  <si>
    <t>SLF_4th_2X_081723_f_2</t>
  </si>
  <si>
    <t>SLF_4th_2X_081723_f_3</t>
  </si>
  <si>
    <t>SLF_4th_2X_081723_f_4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</si>
  <si>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</si>
  <si>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</si>
  <si>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</si>
  <si>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</si>
  <si>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</si>
  <si>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</si>
  <si>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SLF_05.25.23_18000fps_2X_4th_1</t>
  </si>
  <si>
    <t>SLF_05.25.23_18000fps_2X_4th_2</t>
  </si>
  <si>
    <t>SLF_05.25.23_18000fps_2X_4th_3</t>
  </si>
  <si>
    <t>Average diameter_adult SLF [mm]</t>
  </si>
  <si>
    <t>SD_adult SLF [mm]</t>
  </si>
  <si>
    <t>Average diameter_nymph [mm]</t>
  </si>
  <si>
    <t>SD_nymph [mm]</t>
  </si>
  <si>
    <t>From angular acceleration_peak-to-peak</t>
  </si>
  <si>
    <t>File name</t>
  </si>
  <si>
    <t>Stylus frequency, f (MATLAB) [1/s]</t>
  </si>
  <si>
    <t>SLF_female_3X_081623_h_23</t>
  </si>
  <si>
    <t>SLF_female_3X_081623_h_14</t>
  </si>
  <si>
    <t>SLF_female_3X_081623_h_15</t>
  </si>
  <si>
    <t>SLF_female_3X_081623_l_5</t>
  </si>
  <si>
    <t>n=3, N=36 (nymphal SLF)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</si>
</sst>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327B-7CB8-4759-9B24-CA87F5CB35E8}">
  <dimension ref="A1:G86"/>
  <sheetViews>
    <sheetView tabSelected="1" topLeftCell="A22" workbookViewId="0">
      <selection activeCell="J35" sqref="J35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>
        <v>0.93736260087190559</v>
      </c>
      <c r="C3">
        <v>294.28973527398864</v>
      </c>
      <c r="G3">
        <v>0.58054551763242301</v>
      </c>
    </row>
    <row r="4" spans="1:7" x14ac:dyDescent="0.25">
      <c r="A4" t="s">
        <v>9</v>
      </c>
      <c r="B4">
        <v>0.87643107546336896</v>
      </c>
      <c r="C4">
        <v>325.50667243652219</v>
      </c>
      <c r="F4">
        <v>1.3816072684062911E-2</v>
      </c>
      <c r="G4">
        <v>0.78490577519930216</v>
      </c>
    </row>
    <row r="5" spans="1:7" x14ac:dyDescent="0.25">
      <c r="A5" t="s">
        <v>10</v>
      </c>
      <c r="B5">
        <v>0.73328256403225012</v>
      </c>
      <c r="C5">
        <v>425.33342132479601</v>
      </c>
      <c r="F5">
        <v>1.8053201244685738E-2</v>
      </c>
      <c r="G5">
        <v>0.57496968800828041</v>
      </c>
    </row>
    <row r="6" spans="1:7" x14ac:dyDescent="0.25">
      <c r="A6" t="s">
        <v>11</v>
      </c>
      <c r="B6">
        <v>0.63234001032537157</v>
      </c>
      <c r="C6">
        <v>531.14188953840267</v>
      </c>
    </row>
    <row r="7" spans="1:7" x14ac:dyDescent="0.25">
      <c r="A7" t="s">
        <v>12</v>
      </c>
      <c r="B7">
        <v>0.62159942156846937</v>
      </c>
      <c r="C7">
        <v>544.96755211518132</v>
      </c>
    </row>
    <row r="8" spans="1:7" x14ac:dyDescent="0.25">
      <c r="A8" t="s">
        <v>13</v>
      </c>
      <c r="B8">
        <v>0.6187251162085674</v>
      </c>
      <c r="C8">
        <v>548.76945275316143</v>
      </c>
    </row>
    <row r="9" spans="1:7" x14ac:dyDescent="0.25">
      <c r="A9" t="s">
        <v>14</v>
      </c>
      <c r="B9">
        <v>0.64052022675261855</v>
      </c>
      <c r="C9">
        <v>520.99946117339186</v>
      </c>
    </row>
    <row r="10" spans="1:7" x14ac:dyDescent="0.25">
      <c r="A10" t="s">
        <v>15</v>
      </c>
      <c r="B10">
        <v>0.6607846639015339</v>
      </c>
      <c r="C10">
        <v>497.21773955103879</v>
      </c>
    </row>
    <row r="11" spans="1:7" x14ac:dyDescent="0.25">
      <c r="A11" t="s">
        <v>16</v>
      </c>
      <c r="B11">
        <v>0.67308767518253676</v>
      </c>
      <c r="C11">
        <v>483.64765871903091</v>
      </c>
    </row>
    <row r="12" spans="1:7" x14ac:dyDescent="0.25">
      <c r="A12" t="s">
        <v>17</v>
      </c>
      <c r="B12">
        <v>0.66112712811934271</v>
      </c>
      <c r="C12">
        <v>496.83145099036818</v>
      </c>
    </row>
    <row r="13" spans="1:7" x14ac:dyDescent="0.25">
      <c r="A13" t="s">
        <v>18</v>
      </c>
      <c r="B13">
        <v>0.66181152491556328</v>
      </c>
      <c r="C13">
        <v>496.06097046026548</v>
      </c>
    </row>
    <row r="14" spans="1:7" x14ac:dyDescent="0.25">
      <c r="A14" t="s">
        <v>19</v>
      </c>
      <c r="B14">
        <v>0.66181152491556328</v>
      </c>
      <c r="C14">
        <v>496.06097046026548</v>
      </c>
    </row>
    <row r="15" spans="1:7" x14ac:dyDescent="0.25">
      <c r="A15" t="s">
        <v>20</v>
      </c>
      <c r="B15">
        <v>0.6401225390152856</v>
      </c>
      <c r="C15">
        <v>521.48505712221061</v>
      </c>
    </row>
    <row r="16" spans="1:7" x14ac:dyDescent="0.25">
      <c r="A16" t="s">
        <v>21</v>
      </c>
      <c r="B16">
        <v>0.68397119842452736</v>
      </c>
      <c r="C16">
        <v>472.14981717158594</v>
      </c>
    </row>
    <row r="17" spans="1:7" x14ac:dyDescent="0.25">
      <c r="A17" t="s">
        <v>22</v>
      </c>
      <c r="B17">
        <v>0.65915552905220787</v>
      </c>
      <c r="C17">
        <v>499.06222468892645</v>
      </c>
    </row>
    <row r="18" spans="1:7" x14ac:dyDescent="0.25">
      <c r="A18" t="s">
        <v>23</v>
      </c>
      <c r="B18">
        <v>0.68314334627120343</v>
      </c>
      <c r="C18">
        <v>473.00832359910868</v>
      </c>
    </row>
    <row r="19" spans="1:7" x14ac:dyDescent="0.25">
      <c r="A19" t="s">
        <v>24</v>
      </c>
      <c r="B19">
        <v>0.67539572286306038</v>
      </c>
      <c r="C19">
        <v>481.17060504429452</v>
      </c>
    </row>
    <row r="20" spans="1:7" x14ac:dyDescent="0.25">
      <c r="A20" t="s">
        <v>25</v>
      </c>
      <c r="B20">
        <v>0.67986347534775937</v>
      </c>
      <c r="C20">
        <v>476.43535546023753</v>
      </c>
    </row>
    <row r="21" spans="1:7" x14ac:dyDescent="0.25">
      <c r="A21" t="s">
        <v>26</v>
      </c>
      <c r="B21">
        <v>0.67573078215335325</v>
      </c>
      <c r="C21">
        <v>480.81276868661064</v>
      </c>
    </row>
    <row r="22" spans="1:7" x14ac:dyDescent="0.25">
      <c r="A22" t="s">
        <v>27</v>
      </c>
      <c r="B22">
        <v>0.67405382018815752</v>
      </c>
      <c r="C22">
        <v>482.60818766501677</v>
      </c>
    </row>
    <row r="23" spans="1:7" x14ac:dyDescent="0.25">
      <c r="A23" t="s">
        <v>28</v>
      </c>
      <c r="B23">
        <v>0.77416285463691026</v>
      </c>
      <c r="C23">
        <v>392.09206475743707</v>
      </c>
    </row>
    <row r="24" spans="1:7" x14ac:dyDescent="0.25">
      <c r="A24" t="s">
        <v>29</v>
      </c>
      <c r="B24">
        <v>0.72723828467725049</v>
      </c>
      <c r="C24">
        <v>430.64702023218393</v>
      </c>
    </row>
    <row r="25" spans="1:7" x14ac:dyDescent="0.25">
      <c r="A25" t="s">
        <v>30</v>
      </c>
      <c r="B25">
        <v>0.80283390925537002</v>
      </c>
      <c r="C25">
        <v>371.27694852139899</v>
      </c>
    </row>
    <row r="26" spans="1:7" x14ac:dyDescent="0.25">
      <c r="A26" t="s">
        <v>31</v>
      </c>
      <c r="B26">
        <v>0.72743279062757848</v>
      </c>
      <c r="C26">
        <v>430.47430776421231</v>
      </c>
      <c r="D26">
        <v>329.35469999999998</v>
      </c>
      <c r="F26">
        <v>1.3070234241813228</v>
      </c>
      <c r="G26">
        <v>0.55882295852015762</v>
      </c>
    </row>
    <row r="27" spans="1:7" x14ac:dyDescent="0.25">
      <c r="A27" t="s">
        <v>32</v>
      </c>
      <c r="B27">
        <v>0.7500304274563786</v>
      </c>
      <c r="C27">
        <v>411.1669739985789</v>
      </c>
      <c r="D27">
        <v>342.88170000000002</v>
      </c>
      <c r="F27">
        <v>1.1991511182970069</v>
      </c>
      <c r="G27">
        <v>0.67545678625924332</v>
      </c>
    </row>
    <row r="28" spans="1:7" x14ac:dyDescent="0.25">
      <c r="A28" t="s">
        <v>33</v>
      </c>
      <c r="B28">
        <v>0.73046037735590219</v>
      </c>
      <c r="C28">
        <v>427.80076049032778</v>
      </c>
      <c r="D28">
        <v>466.45060000000001</v>
      </c>
      <c r="F28">
        <v>0.91714055141172024</v>
      </c>
      <c r="G28">
        <v>0.53946541552015526</v>
      </c>
    </row>
    <row r="29" spans="1:7" x14ac:dyDescent="0.25">
      <c r="A29" t="s">
        <v>34</v>
      </c>
      <c r="B29">
        <v>0.74987951590003077</v>
      </c>
      <c r="C29">
        <v>411.29109987825512</v>
      </c>
      <c r="D29">
        <v>363.0145</v>
      </c>
      <c r="F29">
        <v>1.1329880758984976</v>
      </c>
      <c r="G29">
        <v>0.61304801886727212</v>
      </c>
    </row>
    <row r="30" spans="1:7" x14ac:dyDescent="0.25">
      <c r="A30" t="s">
        <v>35</v>
      </c>
      <c r="B30">
        <v>0.74927556572380705</v>
      </c>
      <c r="C30">
        <v>411.78847906459777</v>
      </c>
      <c r="D30">
        <v>351.9366</v>
      </c>
      <c r="F30">
        <v>1.170064378256191</v>
      </c>
      <c r="G30">
        <v>0.59698953992686465</v>
      </c>
    </row>
    <row r="31" spans="1:7" x14ac:dyDescent="0.25">
      <c r="A31" t="s">
        <v>36</v>
      </c>
      <c r="B31">
        <v>0.74080675764091541</v>
      </c>
      <c r="C31">
        <v>418.86989148057029</v>
      </c>
      <c r="D31">
        <v>389.41559999999998</v>
      </c>
      <c r="F31">
        <v>1.0756371636898221</v>
      </c>
      <c r="G31">
        <v>0.59031271174260314</v>
      </c>
    </row>
    <row r="32" spans="1:7" x14ac:dyDescent="0.25">
      <c r="A32" t="s">
        <v>37</v>
      </c>
      <c r="B32">
        <v>0.66603059214529625</v>
      </c>
      <c r="C32">
        <v>491.35488796097206</v>
      </c>
      <c r="D32">
        <v>1061.4159</v>
      </c>
      <c r="F32">
        <v>0.46292399422410396</v>
      </c>
      <c r="G32">
        <v>0.47814460018150651</v>
      </c>
    </row>
    <row r="33" spans="1:7" x14ac:dyDescent="0.25">
      <c r="A33" t="s">
        <v>38</v>
      </c>
      <c r="B33">
        <v>0.68877365880697228</v>
      </c>
      <c r="C33">
        <v>467.22035231806717</v>
      </c>
      <c r="D33">
        <v>1793.7188000000001</v>
      </c>
      <c r="F33">
        <v>0.26047580719902536</v>
      </c>
      <c r="G33">
        <v>0.55890612749174373</v>
      </c>
    </row>
    <row r="34" spans="1:7" x14ac:dyDescent="0.25">
      <c r="A34" t="s">
        <v>39</v>
      </c>
      <c r="B34">
        <v>0.77110504543477132</v>
      </c>
      <c r="C34">
        <v>394.42663099818168</v>
      </c>
      <c r="G34">
        <v>0.55921805086976295</v>
      </c>
    </row>
    <row r="35" spans="1:7" x14ac:dyDescent="0.25">
      <c r="A35" t="s">
        <v>40</v>
      </c>
      <c r="B35">
        <v>0.73613236783643621</v>
      </c>
      <c r="C35">
        <v>422.86591077760977</v>
      </c>
      <c r="G35">
        <v>0.57586460708042397</v>
      </c>
    </row>
    <row r="36" spans="1:7" x14ac:dyDescent="0.25">
      <c r="A36" t="s">
        <v>41</v>
      </c>
      <c r="B36">
        <v>0.74464483956565997</v>
      </c>
      <c r="C36">
        <v>415.63563094479196</v>
      </c>
    </row>
    <row r="37" spans="1:7" x14ac:dyDescent="0.25">
      <c r="A37" t="s">
        <v>42</v>
      </c>
      <c r="B37">
        <v>0.75142492255832294</v>
      </c>
      <c r="C37">
        <v>410.02293907943368</v>
      </c>
      <c r="D37">
        <v>406.39260000000002</v>
      </c>
      <c r="F37">
        <v>1.0089330836226684</v>
      </c>
      <c r="G37">
        <v>0.47081707699290726</v>
      </c>
    </row>
    <row r="38" spans="1:7" x14ac:dyDescent="0.25">
      <c r="A38" t="s">
        <v>43</v>
      </c>
      <c r="B38">
        <v>0.73492848038699898</v>
      </c>
      <c r="C38">
        <v>423.90538210416526</v>
      </c>
      <c r="D38">
        <v>422.44290000000001</v>
      </c>
      <c r="F38">
        <v>1.0034619639817954</v>
      </c>
      <c r="G38">
        <v>0.53346609799702949</v>
      </c>
    </row>
    <row r="39" spans="1:7" x14ac:dyDescent="0.25">
      <c r="A39" t="s">
        <v>44</v>
      </c>
      <c r="B39">
        <v>0.75469371812168429</v>
      </c>
      <c r="C39">
        <v>407.36193476041484</v>
      </c>
      <c r="D39">
        <v>532.27809999999999</v>
      </c>
      <c r="F39">
        <v>0.76531785688799681</v>
      </c>
      <c r="G39">
        <v>0.50215456641945877</v>
      </c>
    </row>
    <row r="40" spans="1:7" x14ac:dyDescent="0.25">
      <c r="A40" t="s">
        <v>45</v>
      </c>
      <c r="B40">
        <v>0.75285441807108266</v>
      </c>
      <c r="C40">
        <v>408.85568624779802</v>
      </c>
      <c r="D40">
        <v>472.70100000000002</v>
      </c>
      <c r="F40">
        <v>0.86493509903257659</v>
      </c>
      <c r="G40">
        <v>0.54962086694653811</v>
      </c>
    </row>
    <row r="41" spans="1:7" x14ac:dyDescent="0.25">
      <c r="A41" t="s">
        <v>46</v>
      </c>
      <c r="B41">
        <v>0.73617080315132144</v>
      </c>
      <c r="C41">
        <v>422.83279460628984</v>
      </c>
      <c r="D41">
        <v>556.30799999999999</v>
      </c>
      <c r="F41">
        <v>0.76006959203586832</v>
      </c>
      <c r="G41">
        <v>0.58098921618225707</v>
      </c>
    </row>
    <row r="42" spans="1:7" x14ac:dyDescent="0.25">
      <c r="A42" t="s">
        <v>47</v>
      </c>
      <c r="B42">
        <v>0.7416846945933715</v>
      </c>
      <c r="C42">
        <v>418.12638312840284</v>
      </c>
      <c r="D42">
        <v>615.60310000000004</v>
      </c>
      <c r="F42">
        <v>0.67921422606286874</v>
      </c>
      <c r="G42">
        <v>0.53907066697976214</v>
      </c>
    </row>
    <row r="44" spans="1:7" x14ac:dyDescent="0.25">
      <c r="A44" t="s">
        <v>84</v>
      </c>
      <c r="B44">
        <v>0.70909196860693913</v>
      </c>
      <c r="C44">
        <v>454.24912568887021</v>
      </c>
      <c r="D44">
        <f>AVERAGE(D3:D42)</f>
        <v>578.85100714285716</v>
      </c>
      <c r="F44">
        <f>AVERAGE(F3:F42)</f>
        <v>0.78995035054438822</v>
      </c>
      <c r="G44">
        <f>AVERAGE(G3:G42)</f>
        <v>0.57172464677987855</v>
      </c>
    </row>
    <row r="45" spans="1:7" x14ac:dyDescent="0.25">
      <c r="A45" t="s">
        <v>85</v>
      </c>
      <c r="B45">
        <v>6.7685977011430462E-2</v>
      </c>
      <c r="C45">
        <v>57.892439607643958</v>
      </c>
      <c r="D45">
        <f>_xlfn.STDEV.P(D3:D42)</f>
        <v>381.98718036566453</v>
      </c>
      <c r="F45">
        <f>_xlfn.STDEV.P(F3:F42)</f>
        <v>0.39474598740357014</v>
      </c>
      <c r="G45">
        <f>_xlfn.STDEV.P(G3:G42)</f>
        <v>6.7829231289976505E-2</v>
      </c>
    </row>
    <row r="47" spans="1:7" x14ac:dyDescent="0.25">
      <c r="A47" t="s">
        <v>95</v>
      </c>
    </row>
    <row r="48" spans="1:7" x14ac:dyDescent="0.25">
      <c r="A48" t="s">
        <v>48</v>
      </c>
      <c r="B48">
        <v>0.56868524830946388</v>
      </c>
      <c r="C48">
        <v>622.77131841092717</v>
      </c>
      <c r="D48">
        <v>526.14490000000001</v>
      </c>
      <c r="F48">
        <v>1.1836498242421949</v>
      </c>
      <c r="G48">
        <v>0.18923109155667298</v>
      </c>
    </row>
    <row r="49" spans="1:7" x14ac:dyDescent="0.25">
      <c r="A49" t="s">
        <v>49</v>
      </c>
      <c r="B49">
        <v>0.61721418570853903</v>
      </c>
      <c r="C49">
        <v>550.78575378944925</v>
      </c>
      <c r="D49">
        <v>483.00580000000002</v>
      </c>
      <c r="F49">
        <v>1.1403294821500056</v>
      </c>
      <c r="G49">
        <v>0.16516979249214875</v>
      </c>
    </row>
    <row r="50" spans="1:7" x14ac:dyDescent="0.25">
      <c r="A50" t="s">
        <v>50</v>
      </c>
      <c r="B50">
        <v>0.60513120002872334</v>
      </c>
      <c r="C50">
        <v>567.36459236911207</v>
      </c>
      <c r="D50">
        <v>854.27350000000001</v>
      </c>
      <c r="F50">
        <v>0.66414865071796336</v>
      </c>
      <c r="G50">
        <v>0.15317862517122943</v>
      </c>
    </row>
    <row r="51" spans="1:7" x14ac:dyDescent="0.25">
      <c r="A51" t="s">
        <v>51</v>
      </c>
      <c r="B51">
        <v>0.61182718477508335</v>
      </c>
      <c r="C51">
        <v>558.07605981891982</v>
      </c>
      <c r="D51">
        <v>719.17972399999996</v>
      </c>
      <c r="E51">
        <v>485.11372499999999</v>
      </c>
      <c r="F51">
        <v>0.77598970214977836</v>
      </c>
      <c r="G51">
        <v>0.14234139370463689</v>
      </c>
    </row>
    <row r="52" spans="1:7" x14ac:dyDescent="0.25">
      <c r="A52" t="s">
        <v>52</v>
      </c>
      <c r="B52">
        <v>0.60133194321734829</v>
      </c>
      <c r="C52">
        <v>572.75004957778253</v>
      </c>
      <c r="D52">
        <v>718.60638300000005</v>
      </c>
      <c r="E52">
        <v>507.60638299999999</v>
      </c>
      <c r="F52">
        <v>0.79702889248867481</v>
      </c>
      <c r="G52">
        <v>0.15847227960588511</v>
      </c>
    </row>
    <row r="53" spans="1:7" x14ac:dyDescent="0.25">
      <c r="A53" t="s">
        <v>53</v>
      </c>
      <c r="B53">
        <v>0.60890675194388633</v>
      </c>
      <c r="C53">
        <v>562.09582882062841</v>
      </c>
      <c r="D53">
        <v>853.70598800000005</v>
      </c>
      <c r="E53">
        <v>543.95083899999997</v>
      </c>
      <c r="F53">
        <v>0.65841851494735959</v>
      </c>
      <c r="G53">
        <v>0.15504934008489496</v>
      </c>
    </row>
    <row r="54" spans="1:7" x14ac:dyDescent="0.25">
      <c r="A54" t="s">
        <v>54</v>
      </c>
      <c r="B54">
        <v>0.61016007763078339</v>
      </c>
      <c r="C54">
        <v>560.36482263627408</v>
      </c>
      <c r="D54">
        <v>804.60640000000001</v>
      </c>
      <c r="E54">
        <v>517.50210000000004</v>
      </c>
      <c r="F54">
        <v>0.69644589284434488</v>
      </c>
      <c r="G54">
        <v>0.17085668775451934</v>
      </c>
    </row>
    <row r="55" spans="1:7" x14ac:dyDescent="0.25">
      <c r="A55" t="s">
        <v>55</v>
      </c>
      <c r="B55">
        <v>0.62132625107776962</v>
      </c>
      <c r="C55">
        <v>545.32698988640868</v>
      </c>
      <c r="D55">
        <v>526.23720000000003</v>
      </c>
      <c r="E55">
        <v>406.43700000000001</v>
      </c>
      <c r="F55">
        <v>1.0362760175191124</v>
      </c>
      <c r="G55">
        <v>0.18641931577603321</v>
      </c>
    </row>
    <row r="56" spans="1:7" x14ac:dyDescent="0.25">
      <c r="A56" t="s">
        <v>56</v>
      </c>
      <c r="B56">
        <v>0.64584314011469546</v>
      </c>
      <c r="C56">
        <v>514.57178663643117</v>
      </c>
      <c r="G56">
        <v>0.14310072948454311</v>
      </c>
    </row>
    <row r="57" spans="1:7" x14ac:dyDescent="0.25">
      <c r="A57" t="s">
        <v>57</v>
      </c>
      <c r="B57">
        <v>0.61927363149023651</v>
      </c>
      <c r="C57">
        <v>548.0405138350045</v>
      </c>
      <c r="D57">
        <v>682.61496299999999</v>
      </c>
      <c r="E57">
        <v>480.653301</v>
      </c>
      <c r="F57">
        <v>0.80285452786801059</v>
      </c>
      <c r="G57">
        <v>0.13138977153282025</v>
      </c>
    </row>
    <row r="58" spans="1:7" x14ac:dyDescent="0.25">
      <c r="A58" t="s">
        <v>58</v>
      </c>
      <c r="B58">
        <v>0.62784954014473637</v>
      </c>
      <c r="C58">
        <v>536.85027075962978</v>
      </c>
      <c r="D58">
        <v>868.04010000000005</v>
      </c>
      <c r="E58">
        <v>531.31679999999994</v>
      </c>
      <c r="F58">
        <v>0.61846252351663222</v>
      </c>
      <c r="G58">
        <v>0.15644849489091411</v>
      </c>
    </row>
    <row r="59" spans="1:7" x14ac:dyDescent="0.25">
      <c r="A59" t="s">
        <v>59</v>
      </c>
      <c r="B59">
        <v>0.62784954014473637</v>
      </c>
      <c r="C59">
        <v>536.85027075962978</v>
      </c>
      <c r="D59">
        <v>1210.0483999999999</v>
      </c>
      <c r="E59">
        <v>657.26549999999997</v>
      </c>
      <c r="F59">
        <v>0.44366016331216984</v>
      </c>
      <c r="G59">
        <v>0.15010570824524314</v>
      </c>
    </row>
    <row r="60" spans="1:7" x14ac:dyDescent="0.25">
      <c r="A60" t="s">
        <v>60</v>
      </c>
      <c r="B60">
        <v>0.64781157851065041</v>
      </c>
      <c r="C60">
        <v>512.22820467182453</v>
      </c>
      <c r="D60">
        <v>834.46198600000002</v>
      </c>
      <c r="E60">
        <v>602.48565499999995</v>
      </c>
      <c r="F60">
        <v>0.61384246768051642</v>
      </c>
      <c r="G60">
        <v>0.14429950808417366</v>
      </c>
    </row>
    <row r="61" spans="1:7" x14ac:dyDescent="0.25">
      <c r="A61" t="s">
        <v>61</v>
      </c>
      <c r="B61">
        <v>0.6375093310943446</v>
      </c>
      <c r="C61">
        <v>524.69476175770478</v>
      </c>
      <c r="D61">
        <v>457.64652000000001</v>
      </c>
      <c r="E61">
        <v>305.281296</v>
      </c>
      <c r="F61">
        <v>1.1465066133523856</v>
      </c>
      <c r="G61">
        <v>0.15247992699487192</v>
      </c>
    </row>
    <row r="62" spans="1:7" x14ac:dyDescent="0.25">
      <c r="A62" t="s">
        <v>62</v>
      </c>
      <c r="B62">
        <v>0.64109422907011826</v>
      </c>
      <c r="C62">
        <v>520.29990422440744</v>
      </c>
      <c r="D62">
        <v>609.45121400000005</v>
      </c>
      <c r="E62">
        <v>468.40804100000003</v>
      </c>
      <c r="F62">
        <v>0.85371871000064559</v>
      </c>
      <c r="G62">
        <v>0.15296688519078838</v>
      </c>
    </row>
    <row r="63" spans="1:7" x14ac:dyDescent="0.25">
      <c r="A63" t="s">
        <v>63</v>
      </c>
      <c r="B63">
        <v>0.64663123453859717</v>
      </c>
      <c r="C63">
        <v>513.63135672816929</v>
      </c>
      <c r="D63">
        <v>1011.86729</v>
      </c>
      <c r="E63">
        <v>635.68863199999998</v>
      </c>
      <c r="F63">
        <v>0.50760743212498671</v>
      </c>
      <c r="G63">
        <v>0.14191178320710565</v>
      </c>
    </row>
    <row r="64" spans="1:7" x14ac:dyDescent="0.25">
      <c r="A64" t="s">
        <v>64</v>
      </c>
      <c r="B64">
        <v>0.63470707871065069</v>
      </c>
      <c r="C64">
        <v>528.1734109398551</v>
      </c>
      <c r="G64">
        <v>0.15476043931995678</v>
      </c>
    </row>
    <row r="65" spans="1:7" x14ac:dyDescent="0.25">
      <c r="A65" t="s">
        <v>65</v>
      </c>
      <c r="B65">
        <v>0.63310022276888189</v>
      </c>
      <c r="C65">
        <v>530.18550201341191</v>
      </c>
      <c r="G65">
        <v>0.18279108549409451</v>
      </c>
    </row>
    <row r="66" spans="1:7" x14ac:dyDescent="0.25">
      <c r="A66" t="s">
        <v>66</v>
      </c>
      <c r="B66">
        <v>0.6375093310943446</v>
      </c>
      <c r="C66">
        <v>524.69476175770478</v>
      </c>
      <c r="G66">
        <v>0.19624751750810077</v>
      </c>
    </row>
    <row r="67" spans="1:7" x14ac:dyDescent="0.25">
      <c r="A67" t="s">
        <v>67</v>
      </c>
      <c r="B67">
        <v>0.63470707871065069</v>
      </c>
      <c r="C67">
        <v>528.1734109398551</v>
      </c>
      <c r="G67">
        <v>0.16479323043636121</v>
      </c>
    </row>
    <row r="68" spans="1:7" x14ac:dyDescent="0.25">
      <c r="A68" t="s">
        <v>68</v>
      </c>
      <c r="B68">
        <v>0.62703784033521992</v>
      </c>
      <c r="C68">
        <v>537.89303618904592</v>
      </c>
      <c r="G68">
        <v>0.15140895388321438</v>
      </c>
    </row>
    <row r="69" spans="1:7" x14ac:dyDescent="0.25">
      <c r="A69" t="s">
        <v>69</v>
      </c>
      <c r="B69">
        <v>0.61927363149023651</v>
      </c>
      <c r="C69">
        <v>548.0405138350045</v>
      </c>
      <c r="G69">
        <v>0.19213444213444211</v>
      </c>
    </row>
    <row r="70" spans="1:7" x14ac:dyDescent="0.25">
      <c r="A70" t="s">
        <v>70</v>
      </c>
      <c r="B70">
        <v>0.6176266242348244</v>
      </c>
      <c r="C70">
        <v>550.23414058002129</v>
      </c>
      <c r="G70">
        <v>0.1861638447066872</v>
      </c>
    </row>
    <row r="71" spans="1:7" x14ac:dyDescent="0.25">
      <c r="A71" t="s">
        <v>71</v>
      </c>
      <c r="B71">
        <v>0.43394949918575165</v>
      </c>
      <c r="C71">
        <v>934.28152293240089</v>
      </c>
      <c r="D71">
        <v>2138.2220000000002</v>
      </c>
      <c r="E71">
        <v>1848.139242</v>
      </c>
      <c r="F71">
        <v>0.43694318126574361</v>
      </c>
      <c r="G71">
        <v>0.16140605410690489</v>
      </c>
    </row>
    <row r="72" spans="1:7" x14ac:dyDescent="0.25">
      <c r="A72" t="s">
        <v>72</v>
      </c>
      <c r="B72">
        <v>0.45402370552463145</v>
      </c>
      <c r="C72">
        <v>873.00906629451492</v>
      </c>
      <c r="G72">
        <v>0.21034383126264086</v>
      </c>
    </row>
    <row r="73" spans="1:7" x14ac:dyDescent="0.25">
      <c r="A73" t="s">
        <v>73</v>
      </c>
      <c r="B73">
        <v>0.45332207675504249</v>
      </c>
      <c r="C73">
        <v>875.03664863831034</v>
      </c>
      <c r="D73">
        <v>1248.85464</v>
      </c>
      <c r="E73">
        <v>1125.8407239999999</v>
      </c>
      <c r="F73">
        <v>0.70067133564744599</v>
      </c>
      <c r="G73">
        <v>0.25913574282044333</v>
      </c>
    </row>
    <row r="74" spans="1:7" x14ac:dyDescent="0.25">
      <c r="A74" t="s">
        <v>74</v>
      </c>
      <c r="B74">
        <v>0.43847372926254402</v>
      </c>
      <c r="C74">
        <v>919.85882658487344</v>
      </c>
      <c r="G74">
        <v>0.23861622283976278</v>
      </c>
    </row>
    <row r="75" spans="1:7" x14ac:dyDescent="0.25">
      <c r="A75" t="s">
        <v>75</v>
      </c>
      <c r="B75">
        <v>0.44136797671858014</v>
      </c>
      <c r="C75">
        <v>910.82578628024783</v>
      </c>
      <c r="G75">
        <v>0.21818217963500455</v>
      </c>
    </row>
    <row r="76" spans="1:7" x14ac:dyDescent="0.25">
      <c r="A76" t="s">
        <v>76</v>
      </c>
      <c r="B76">
        <v>0.46455801331100582</v>
      </c>
      <c r="C76">
        <v>843.48354298129561</v>
      </c>
      <c r="G76">
        <v>0.2411841532433609</v>
      </c>
    </row>
    <row r="77" spans="1:7" x14ac:dyDescent="0.25">
      <c r="A77" t="s">
        <v>77</v>
      </c>
      <c r="B77">
        <v>0.46001353932216554</v>
      </c>
      <c r="C77">
        <v>856.01352367221807</v>
      </c>
      <c r="G77">
        <v>0.26987724039312161</v>
      </c>
    </row>
    <row r="78" spans="1:7" x14ac:dyDescent="0.25">
      <c r="A78" t="s">
        <v>78</v>
      </c>
      <c r="B78">
        <v>0.45078717108651095</v>
      </c>
      <c r="C78">
        <v>882.42788852891158</v>
      </c>
      <c r="G78">
        <v>0.21019338171042135</v>
      </c>
    </row>
    <row r="79" spans="1:7" x14ac:dyDescent="0.25">
      <c r="A79" t="s">
        <v>79</v>
      </c>
      <c r="B79">
        <v>0.45332207675504249</v>
      </c>
      <c r="C79">
        <v>875.03664863831034</v>
      </c>
      <c r="G79">
        <v>0.24813135645141526</v>
      </c>
    </row>
    <row r="80" spans="1:7" x14ac:dyDescent="0.25">
      <c r="A80" t="s">
        <v>80</v>
      </c>
      <c r="B80">
        <v>0.45332207675504249</v>
      </c>
      <c r="C80">
        <v>875.03664863831034</v>
      </c>
      <c r="G80">
        <v>0.2615384615384615</v>
      </c>
    </row>
    <row r="81" spans="1:7" x14ac:dyDescent="0.25">
      <c r="A81" t="s">
        <v>81</v>
      </c>
      <c r="B81">
        <v>0.59921083627910288</v>
      </c>
      <c r="C81">
        <v>575.79389950835446</v>
      </c>
      <c r="G81">
        <v>0.13842804419452109</v>
      </c>
    </row>
    <row r="82" spans="1:7" x14ac:dyDescent="0.25">
      <c r="A82" t="s">
        <v>82</v>
      </c>
      <c r="B82">
        <v>0.58827423898733222</v>
      </c>
      <c r="C82">
        <v>591.92516133427557</v>
      </c>
      <c r="G82">
        <v>0.21988607419070996</v>
      </c>
    </row>
    <row r="83" spans="1:7" x14ac:dyDescent="0.25">
      <c r="A83" t="s">
        <v>83</v>
      </c>
      <c r="B83">
        <v>0.60534157069387518</v>
      </c>
      <c r="C83">
        <v>567.06885893029892</v>
      </c>
      <c r="G83">
        <v>0.21732868757259002</v>
      </c>
    </row>
    <row r="85" spans="1:7" x14ac:dyDescent="0.25">
      <c r="A85" t="s">
        <v>86</v>
      </c>
      <c r="B85">
        <v>0.61095027777777799</v>
      </c>
      <c r="D85">
        <f>AVERAGE(D48:D83)</f>
        <v>855.70394164705885</v>
      </c>
      <c r="E85">
        <f>AVERAGE(E48:E83)</f>
        <v>651.12065985714287</v>
      </c>
      <c r="F85">
        <f>AVERAGE(F48:F83)</f>
        <v>0.76920905481341006</v>
      </c>
      <c r="G85">
        <f>AVERAGE(G48:G83)</f>
        <v>0.18377700770051933</v>
      </c>
    </row>
    <row r="86" spans="1:7" x14ac:dyDescent="0.25">
      <c r="A86" t="s">
        <v>87</v>
      </c>
      <c r="B86">
        <v>8.1372067193645675E-2</v>
      </c>
      <c r="D86">
        <f>_xlfn.STDEV.P(D48:D83)</f>
        <v>390.71076566193329</v>
      </c>
      <c r="E86">
        <f>_xlfn.STDEV.P(E48:E83)</f>
        <v>377.45565312045863</v>
      </c>
      <c r="F86">
        <f>_xlfn.STDEV.P(F48:F83)</f>
        <v>0.22973758379231152</v>
      </c>
      <c r="G86">
        <f>_xlfn.STDEV.P(G48:G83)</f>
        <v>3.9379775947818919E-2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F752-2F06-4630-AE5C-9AC42194F0A0}">
  <dimension ref="A1:B14"/>
  <sheetViews>
    <sheetView workbookViewId="0">
      <selection activeCell="B3" sqref="B3"/>
    </sheetView>
  </sheetViews>
  <sheetFormatPr defaultRowHeight="15" x14ac:dyDescent="0.25"/>
  <sheetData>
    <row r="1" spans="1:2" x14ac:dyDescent="0.25">
      <c r="B1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42</v>
      </c>
      <c r="B3">
        <v>406.39260000000002</v>
      </c>
    </row>
    <row r="4" spans="1:2" x14ac:dyDescent="0.25">
      <c r="A4" t="s">
        <v>43</v>
      </c>
      <c r="B4">
        <v>422.44290000000001</v>
      </c>
    </row>
    <row r="5" spans="1:2" x14ac:dyDescent="0.25">
      <c r="A5" t="s">
        <v>91</v>
      </c>
      <c r="B5">
        <v>489.17829999999998</v>
      </c>
    </row>
    <row r="6" spans="1:2" x14ac:dyDescent="0.25">
      <c r="A6" t="s">
        <v>92</v>
      </c>
      <c r="B6">
        <v>457.08839999999998</v>
      </c>
    </row>
    <row r="7" spans="1:2" x14ac:dyDescent="0.25">
      <c r="A7" t="s">
        <v>93</v>
      </c>
      <c r="B7">
        <v>423.35748699999999</v>
      </c>
    </row>
    <row r="8" spans="1:2" x14ac:dyDescent="0.25">
      <c r="A8" t="s">
        <v>31</v>
      </c>
      <c r="B8">
        <v>329.35469999999998</v>
      </c>
    </row>
    <row r="9" spans="1:2" x14ac:dyDescent="0.25">
      <c r="A9" t="s">
        <v>44</v>
      </c>
      <c r="B9">
        <v>532.27809999999999</v>
      </c>
    </row>
    <row r="10" spans="1:2" x14ac:dyDescent="0.25">
      <c r="A10" t="s">
        <v>45</v>
      </c>
      <c r="B10">
        <v>472.70100000000002</v>
      </c>
    </row>
    <row r="11" spans="1:2" x14ac:dyDescent="0.25">
      <c r="A11" t="s">
        <v>94</v>
      </c>
      <c r="B11">
        <v>556.30799999999999</v>
      </c>
    </row>
    <row r="12" spans="1:2" x14ac:dyDescent="0.25">
      <c r="A12" t="s">
        <v>47</v>
      </c>
      <c r="B12">
        <v>615.60310000000004</v>
      </c>
    </row>
    <row r="13" spans="1:2" x14ac:dyDescent="0.25">
      <c r="A13" t="s">
        <v>37</v>
      </c>
      <c r="B13">
        <v>1061.4159</v>
      </c>
    </row>
    <row r="14" spans="1:2" x14ac:dyDescent="0.25">
      <c r="A14" t="s">
        <v>38</v>
      </c>
      <c r="B14">
        <v>1793.7188000000001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Tab1.D_eff,fof,lambda</vt:lpstr>
      <vt:lpstr>Tab2.Stylus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Park, Sungho</cp:lastModifiedBy>
  <dcterms:created xsi:type="dcterms:W3CDTF">2026-02-18T17:37:10Z</dcterms:created>
  <dcterms:modified xsi:type="dcterms:W3CDTF">2026-04-07T13:59:21Z</dcterms:modified>
</cp:coreProperties>
</file>